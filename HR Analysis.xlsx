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slicers/slicer5.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7.xml" ContentType="application/vnd.openxmlformats-officedocument.drawing+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charts/chart21.xml" ContentType="application/vnd.openxmlformats-officedocument.drawingml.chart+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abf4539c0bc0031b/Documents/"/>
    </mc:Choice>
  </mc:AlternateContent>
  <xr:revisionPtr revIDLastSave="1" documentId="8_{A9E4B948-979D-4B31-AAA0-06BA14C60F99}" xr6:coauthVersionLast="47" xr6:coauthVersionMax="47" xr10:uidLastSave="{8418F6FA-9256-46F3-B06F-65A5D90A374F}"/>
  <bookViews>
    <workbookView xWindow="930" yWindow="0" windowWidth="27870" windowHeight="16200" firstSheet="3" activeTab="14" xr2:uid="{00000000-000D-0000-FFFF-FFFF00000000}"/>
  </bookViews>
  <sheets>
    <sheet name="Sheet3" sheetId="3" r:id="rId1"/>
    <sheet name="Sheet5" sheetId="5" r:id="rId2"/>
    <sheet name="Sheet9" sheetId="12" r:id="rId3"/>
    <sheet name="Sheet6" sheetId="6" r:id="rId4"/>
    <sheet name="sales" sheetId="42" r:id="rId5"/>
    <sheet name="Sheet18" sheetId="43" r:id="rId6"/>
    <sheet name="Sheet1" sheetId="29" r:id="rId7"/>
    <sheet name="Sheet7" sheetId="32" r:id="rId8"/>
    <sheet name="Sheet11" sheetId="37" r:id="rId9"/>
    <sheet name="Sheet17" sheetId="44" r:id="rId10"/>
    <sheet name="Sheet12" sheetId="38" r:id="rId11"/>
    <sheet name="Sales &amp; revenue" sheetId="34" r:id="rId12"/>
    <sheet name="Sheet15" sheetId="41" r:id="rId13"/>
    <sheet name="Sheet8" sheetId="33" r:id="rId14"/>
    <sheet name="HR" sheetId="45" r:id="rId15"/>
    <sheet name="Sheet14" sheetId="35" r:id="rId16"/>
  </sheets>
  <definedNames>
    <definedName name="_xlnm._FilterDatabase" localSheetId="3" hidden="1">Sheet6!$A$1:$H$11</definedName>
    <definedName name="_xlnm._FilterDatabase" localSheetId="13" hidden="1">Sheet8!$A$1:$O$20</definedName>
    <definedName name="Slicer_country2">#N/A</definedName>
    <definedName name="Slicer_Customer_name2">#N/A</definedName>
    <definedName name="Slicer_Day">#N/A</definedName>
    <definedName name="Slicer_Department1">#N/A</definedName>
    <definedName name="Slicer_Month">#N/A</definedName>
    <definedName name="Slicer_Month1">#N/A</definedName>
    <definedName name="Slicer_Months__hire_date">#N/A</definedName>
    <definedName name="Slicer_Months__order_date">#N/A</definedName>
    <definedName name="Slicer_Name">#N/A</definedName>
    <definedName name="Slicer_name21">#N/A</definedName>
    <definedName name="Slicer_Product_name1">#N/A</definedName>
    <definedName name="Slicer_product_name2">#N/A</definedName>
    <definedName name="Slicer_rank">#N/A</definedName>
    <definedName name="Slicer_Region">#N/A</definedName>
    <definedName name="Slicer_student_rank">#N/A</definedName>
    <definedName name="Slicer_subject_name">#N/A</definedName>
    <definedName name="Slicer_subject_name2">#N/A</definedName>
    <definedName name="Slicer_Top_10_performence">#N/A</definedName>
    <definedName name="Slicer_Top_student">#N/A</definedName>
    <definedName name="Slicer_Top_student_score">#N/A</definedName>
    <definedName name="Slicer_Total_employee">#N/A</definedName>
    <definedName name="Slicer_txn_date">#N/A</definedName>
    <definedName name="Slicer_txn_id">#N/A</definedName>
    <definedName name="Slicer_txn_type">#N/A</definedName>
  </definedNames>
  <calcPr calcId="191029"/>
  <pivotCaches>
    <pivotCache cacheId="0" r:id="rId17"/>
    <pivotCache cacheId="1" r:id="rId18"/>
    <pivotCache cacheId="2" r:id="rId19"/>
    <pivotCache cacheId="3" r:id="rId20"/>
    <pivotCache cacheId="4" r:id="rId21"/>
  </pivotCaches>
  <extLst>
    <ext xmlns:x14="http://schemas.microsoft.com/office/spreadsheetml/2009/9/main" uri="{876F7934-8845-4945-9796-88D515C7AA90}">
      <x14:pivotCaches>
        <pivotCache cacheId="5" r:id="rId22"/>
        <pivotCache cacheId="6" r:id="rId23"/>
        <pivotCache cacheId="7" r:id="rId24"/>
        <pivotCache cacheId="8" r:id="rId25"/>
        <pivotCache cacheId="9" r:id="rId26"/>
        <pivotCache cacheId="10" r:id="rId27"/>
        <pivotCache cacheId="11" r:id="rId28"/>
        <pivotCache cacheId="12" r:id="rId29"/>
      </x14:pivotCaches>
    </ext>
    <ext xmlns:x14="http://schemas.microsoft.com/office/spreadsheetml/2009/9/main" uri="{BBE1A952-AA13-448e-AADC-164F8A28A991}">
      <x14:slicerCaches>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 r:id="rId52"/>
        <x14:slicerCache r:id="rId5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2" i="45" l="1"/>
  <c r="R2" i="45"/>
  <c r="Q2" i="45"/>
  <c r="P2" i="45"/>
  <c r="D19" i="29"/>
  <c r="G3" i="29"/>
  <c r="G4" i="29"/>
  <c r="G5" i="29"/>
  <c r="G6" i="29"/>
  <c r="G7" i="29"/>
  <c r="G8" i="29"/>
  <c r="G9" i="29"/>
  <c r="G10" i="29"/>
  <c r="G11" i="29"/>
  <c r="G2" i="29"/>
  <c r="I17" i="29"/>
  <c r="I18" i="29"/>
  <c r="I19" i="29"/>
  <c r="I20" i="29"/>
  <c r="I16" i="29"/>
  <c r="K6" i="29"/>
  <c r="L6" i="29"/>
  <c r="M6" i="29"/>
  <c r="N6" i="29"/>
  <c r="J6" i="29"/>
  <c r="G22" i="42"/>
  <c r="H22" i="42"/>
  <c r="H3" i="42"/>
  <c r="H4" i="42"/>
  <c r="H5" i="42"/>
  <c r="H6" i="42"/>
  <c r="H7" i="42"/>
  <c r="H8" i="42"/>
  <c r="H9" i="42"/>
  <c r="H10" i="42"/>
  <c r="H11" i="42"/>
  <c r="H12" i="42"/>
  <c r="H13" i="42"/>
  <c r="H14" i="42"/>
  <c r="H15" i="42"/>
  <c r="H16" i="42"/>
  <c r="H17" i="42"/>
  <c r="H18" i="42"/>
  <c r="H19" i="42"/>
  <c r="H20" i="42"/>
  <c r="H21" i="42"/>
  <c r="H2" i="42"/>
  <c r="E22" i="42"/>
  <c r="L16" i="6"/>
  <c r="L17" i="6"/>
  <c r="L18" i="6"/>
  <c r="L19" i="6"/>
  <c r="L20" i="6"/>
  <c r="L21" i="6"/>
  <c r="L15" i="6"/>
  <c r="M7" i="6"/>
  <c r="N7" i="6"/>
  <c r="O7" i="6"/>
  <c r="P7" i="6"/>
  <c r="Q7" i="6"/>
  <c r="L7" i="6"/>
  <c r="B19" i="6"/>
  <c r="C19" i="6" s="1"/>
  <c r="D19" i="6" s="1"/>
  <c r="E19" i="6" s="1"/>
  <c r="F19" i="6" s="1"/>
  <c r="G19" i="6" s="1"/>
  <c r="B20" i="6"/>
  <c r="C20" i="6" s="1"/>
  <c r="D20" i="6" s="1"/>
  <c r="E20" i="6" s="1"/>
  <c r="F20" i="6" s="1"/>
  <c r="G20" i="6" s="1"/>
  <c r="H20" i="6" s="1"/>
  <c r="B21" i="6"/>
  <c r="C21" i="6" s="1"/>
  <c r="D21" i="6" s="1"/>
  <c r="E21" i="6" s="1"/>
  <c r="F21" i="6" s="1"/>
  <c r="G21" i="6" s="1"/>
  <c r="B22" i="6"/>
  <c r="C22" i="6" s="1"/>
  <c r="D22" i="6" s="1"/>
  <c r="E22" i="6" s="1"/>
  <c r="F22" i="6" s="1"/>
  <c r="G22" i="6" s="1"/>
  <c r="B23" i="6"/>
  <c r="C23" i="6" s="1"/>
  <c r="D23" i="6" s="1"/>
  <c r="E23" i="6" s="1"/>
  <c r="F23" i="6" s="1"/>
  <c r="G23" i="6" s="1"/>
  <c r="B24" i="6"/>
  <c r="C24" i="6" s="1"/>
  <c r="D24" i="6" s="1"/>
  <c r="E24" i="6" s="1"/>
  <c r="F24" i="6" s="1"/>
  <c r="G24" i="6" s="1"/>
  <c r="H24" i="6" s="1"/>
  <c r="B25" i="6"/>
  <c r="C25" i="6" s="1"/>
  <c r="D25" i="6" s="1"/>
  <c r="E25" i="6" s="1"/>
  <c r="F25" i="6" s="1"/>
  <c r="G25" i="6" s="1"/>
  <c r="B26" i="6"/>
  <c r="C26" i="6" s="1"/>
  <c r="D26" i="6" s="1"/>
  <c r="E26" i="6" s="1"/>
  <c r="F26" i="6" s="1"/>
  <c r="G26" i="6" s="1"/>
  <c r="B27" i="6"/>
  <c r="C27" i="6" s="1"/>
  <c r="D27" i="6" s="1"/>
  <c r="E27" i="6" s="1"/>
  <c r="F27" i="6" s="1"/>
  <c r="G27" i="6" s="1"/>
  <c r="B18" i="6"/>
  <c r="C18" i="6" s="1"/>
  <c r="D18" i="6" s="1"/>
  <c r="E18" i="6" s="1"/>
  <c r="F18" i="6" s="1"/>
  <c r="G18" i="6" s="1"/>
  <c r="H18" i="6" s="1"/>
  <c r="H3" i="6"/>
  <c r="H4" i="6"/>
  <c r="H5" i="6"/>
  <c r="H6" i="6"/>
  <c r="H7" i="6"/>
  <c r="H8" i="6"/>
  <c r="H9" i="6"/>
  <c r="H10" i="6"/>
  <c r="H11" i="6"/>
  <c r="D24" i="34"/>
  <c r="D22" i="34"/>
  <c r="A22" i="34"/>
  <c r="D25" i="34"/>
  <c r="C22" i="34"/>
  <c r="O3" i="33"/>
  <c r="O4" i="33"/>
  <c r="O5" i="33"/>
  <c r="O6" i="33"/>
  <c r="O7" i="33"/>
  <c r="O8" i="33"/>
  <c r="O9" i="33"/>
  <c r="O10" i="33"/>
  <c r="O16" i="33"/>
  <c r="O11" i="33"/>
  <c r="O17" i="33"/>
  <c r="O18" i="33"/>
  <c r="O12" i="33"/>
  <c r="O19" i="33"/>
  <c r="O13" i="33"/>
  <c r="O14" i="33"/>
  <c r="O15" i="33"/>
  <c r="O2" i="33"/>
  <c r="G20" i="33"/>
  <c r="U9" i="33"/>
  <c r="H27" i="6" l="1"/>
  <c r="H19" i="6"/>
  <c r="H26" i="6"/>
  <c r="H22" i="6"/>
  <c r="R7" i="6"/>
  <c r="H25" i="6"/>
  <c r="H21" i="6"/>
  <c r="H23" i="6"/>
</calcChain>
</file>

<file path=xl/sharedStrings.xml><?xml version="1.0" encoding="utf-8"?>
<sst xmlns="http://schemas.openxmlformats.org/spreadsheetml/2006/main" count="1124" uniqueCount="366">
  <si>
    <t>Rakib</t>
  </si>
  <si>
    <t>Tamim</t>
  </si>
  <si>
    <t>Date</t>
  </si>
  <si>
    <t>SL No</t>
  </si>
  <si>
    <t>Arafat</t>
  </si>
  <si>
    <t>Weeks</t>
  </si>
  <si>
    <t>Focus Area</t>
  </si>
  <si>
    <t>Key Goals</t>
  </si>
  <si>
    <t>1–4</t>
  </si>
  <si>
    <t>Excel Fundamentals &amp; Data Concepts</t>
  </si>
  <si>
    <t>5–8</t>
  </si>
  <si>
    <t>SQL &amp; Data Handling</t>
  </si>
  <si>
    <t>Master SELECT, WHERE, JOIN, GROUP BY, HAVING, subqueries; build and query a sample database (softloom, Scribd)</t>
  </si>
  <si>
    <t>9–12</t>
  </si>
  <si>
    <t>Python for Data Analysis</t>
  </si>
  <si>
    <t>Learn Python basics (variables, loops, functions); use Pandas, NumPy, Matplotlib/Seaborn for data manipulation and visualization (softloom, Scribd)</t>
  </si>
  <si>
    <t>13–16</t>
  </si>
  <si>
    <t>Data Visualization Tools</t>
  </si>
  <si>
    <t>Use Power BI or Tableau to build interactive dashboards; practice storytelling with data (softloom, Scribd)</t>
  </si>
  <si>
    <t>17–20</t>
  </si>
  <si>
    <t>Statistics &amp; Interpretation</t>
  </si>
  <si>
    <t>Learn descriptive stats (mean, median, variance), distributions, hypothesis testing, correlation, regression analysis (Scribd)</t>
  </si>
  <si>
    <t>21–24</t>
  </si>
  <si>
    <t>Capstone Projects &amp; Portfolio</t>
  </si>
  <si>
    <t>Execute end-to-end projects: clean data, analyze, visualize, and present; publish to GitHub or Kaggle and craft portfolio (softloom, Scribd)</t>
  </si>
  <si>
    <t>Siddik</t>
  </si>
  <si>
    <t>DATA TYPES AND CONSTRAINS IN SQL</t>
  </si>
  <si>
    <t>Numeric Data Types</t>
  </si>
  <si>
    <t xml:space="preserve">Data Type </t>
  </si>
  <si>
    <t>Description</t>
  </si>
  <si>
    <t>Example</t>
  </si>
  <si>
    <t xml:space="preserve">INTEGER </t>
  </si>
  <si>
    <t>SERIAL</t>
  </si>
  <si>
    <t>BIGINT</t>
  </si>
  <si>
    <t>NUMERIC(p.s)</t>
  </si>
  <si>
    <t xml:space="preserve"> REAL</t>
  </si>
  <si>
    <t>DOUBLEPRECISION</t>
  </si>
  <si>
    <t>Stores whole numbers.</t>
  </si>
  <si>
    <t>Auto-incrementing integer</t>
  </si>
  <si>
    <t>Stores large integer</t>
  </si>
  <si>
    <t>Stores exact numbers with precision(P)and seale(s).</t>
  </si>
  <si>
    <t>Stores floating-point numbers (single precision).</t>
  </si>
  <si>
    <t>Stores double -precision floating-point numbers</t>
  </si>
  <si>
    <t>Employee IDs,Age</t>
  </si>
  <si>
    <t>Primary key auto-increment</t>
  </si>
  <si>
    <t>population,lage counts</t>
  </si>
  <si>
    <t>Finacial data(salary)</t>
  </si>
  <si>
    <t>scientific calculation</t>
  </si>
  <si>
    <t>High -precision company</t>
  </si>
  <si>
    <t>Character Data Types</t>
  </si>
  <si>
    <t>Data Type</t>
  </si>
  <si>
    <t>Example Use</t>
  </si>
  <si>
    <t>CHAR (n)</t>
  </si>
  <si>
    <t>VARCHAR(n)</t>
  </si>
  <si>
    <t>TEXT</t>
  </si>
  <si>
    <t>Unlimited-length string.</t>
  </si>
  <si>
    <t>Description Comments</t>
  </si>
  <si>
    <t>Fixed-length string of n characters.</t>
  </si>
  <si>
    <t>Variable-length string up to n characters.</t>
  </si>
  <si>
    <t>Employee codes</t>
  </si>
  <si>
    <t>Names,Email,addresses</t>
  </si>
  <si>
    <t>example</t>
  </si>
  <si>
    <t>CREATE TEBLE products( product_id SERIAL PRIMARY KEY,</t>
  </si>
  <si>
    <t xml:space="preserve">name VARCHAR(50),description TEXT ); </t>
  </si>
  <si>
    <t>Date and Time Data Types</t>
  </si>
  <si>
    <t>Descirption</t>
  </si>
  <si>
    <t>DATE</t>
  </si>
  <si>
    <t>TIME</t>
  </si>
  <si>
    <t>TIMESTAMP</t>
  </si>
  <si>
    <t>TIMESTAMPTZ</t>
  </si>
  <si>
    <t>INTERVAL</t>
  </si>
  <si>
    <t>Stores date (year,month,day)</t>
  </si>
  <si>
    <t>Stores time (hour, minute,second).</t>
  </si>
  <si>
    <t>stores date and time</t>
  </si>
  <si>
    <t>stores date and time with timezone info.</t>
  </si>
  <si>
    <t>stores duration of time.</t>
  </si>
  <si>
    <t xml:space="preserve">Birthdate, Hire date </t>
  </si>
  <si>
    <t>Appointment times</t>
  </si>
  <si>
    <t>Order timestam</t>
  </si>
  <si>
    <t>Global event to</t>
  </si>
  <si>
    <t>Duration between</t>
  </si>
  <si>
    <t>Boolean Data Typ</t>
  </si>
  <si>
    <t>Stores TRUE,FALSE,or NULL.</t>
  </si>
  <si>
    <t>Flags,Active status</t>
  </si>
  <si>
    <t>Name</t>
  </si>
  <si>
    <t>Month</t>
  </si>
  <si>
    <t xml:space="preserve">ID </t>
  </si>
  <si>
    <t>Day</t>
  </si>
  <si>
    <t>Sales Value1</t>
  </si>
  <si>
    <t>Sales Value2</t>
  </si>
  <si>
    <t>Abu Bakker</t>
  </si>
  <si>
    <t>Shoan</t>
  </si>
  <si>
    <t>Rana</t>
  </si>
  <si>
    <t>Shakib</t>
  </si>
  <si>
    <t>Somun</t>
  </si>
  <si>
    <t>Rohan</t>
  </si>
  <si>
    <t>January</t>
  </si>
  <si>
    <t>February</t>
  </si>
  <si>
    <t>March</t>
  </si>
  <si>
    <t>April</t>
  </si>
  <si>
    <t>May</t>
  </si>
  <si>
    <t>June</t>
  </si>
  <si>
    <t>July</t>
  </si>
  <si>
    <t>August</t>
  </si>
  <si>
    <t>September</t>
  </si>
  <si>
    <t>October</t>
  </si>
  <si>
    <t>Saturday</t>
  </si>
  <si>
    <t>Sunday</t>
  </si>
  <si>
    <t>Monday</t>
  </si>
  <si>
    <t>Tuesday</t>
  </si>
  <si>
    <t>Wednesday</t>
  </si>
  <si>
    <t>Thursday</t>
  </si>
  <si>
    <t>Friday</t>
  </si>
  <si>
    <t>Bonus(yes/No)</t>
  </si>
  <si>
    <t>Sumon</t>
  </si>
  <si>
    <t>Row Labels</t>
  </si>
  <si>
    <t>Grand Total</t>
  </si>
  <si>
    <t>Sum of Sales Value1</t>
  </si>
  <si>
    <t>Column Labels</t>
  </si>
  <si>
    <t>Sum of Sales Value2</t>
  </si>
  <si>
    <t>Average of Sales Value2</t>
  </si>
  <si>
    <t>Average of Sales Value1</t>
  </si>
  <si>
    <t>Arafat Hossen</t>
  </si>
  <si>
    <t>Rahim Uddin</t>
  </si>
  <si>
    <t>HR</t>
  </si>
  <si>
    <t>Present</t>
  </si>
  <si>
    <t>Karim Ahmed</t>
  </si>
  <si>
    <t>Finance</t>
  </si>
  <si>
    <t>Absent</t>
  </si>
  <si>
    <t>Ayesha Khan</t>
  </si>
  <si>
    <t>IT</t>
  </si>
  <si>
    <t>Tanvir Hasan</t>
  </si>
  <si>
    <t>Marketing</t>
  </si>
  <si>
    <t>Nusrat Jahan</t>
  </si>
  <si>
    <t>Sabbir Hossain</t>
  </si>
  <si>
    <t>Sales</t>
  </si>
  <si>
    <t>Farhana Akter</t>
  </si>
  <si>
    <t>Mahmudul Islam</t>
  </si>
  <si>
    <t>Shila Rahman</t>
  </si>
  <si>
    <t>Arif Chowdhury</t>
  </si>
  <si>
    <t>Department</t>
  </si>
  <si>
    <t>Hire_date</t>
  </si>
  <si>
    <t>Salary</t>
  </si>
  <si>
    <t>Status</t>
  </si>
  <si>
    <t>Jan</t>
  </si>
  <si>
    <t>Feb</t>
  </si>
  <si>
    <t>Mar</t>
  </si>
  <si>
    <t>Apr</t>
  </si>
  <si>
    <t>Male</t>
  </si>
  <si>
    <t>Data Analyst</t>
  </si>
  <si>
    <t>Active</t>
  </si>
  <si>
    <t>Better career opportunity</t>
  </si>
  <si>
    <t>Female</t>
  </si>
  <si>
    <t>Accountant</t>
  </si>
  <si>
    <t>Low salary</t>
  </si>
  <si>
    <t>Sadia Islam</t>
  </si>
  <si>
    <t>Marketing Officer</t>
  </si>
  <si>
    <t>Work-life balance issues</t>
  </si>
  <si>
    <t>Software Engineer</t>
  </si>
  <si>
    <t>Higher studies</t>
  </si>
  <si>
    <t>Late</t>
  </si>
  <si>
    <t>Hasan Mahmud</t>
  </si>
  <si>
    <t>Operations</t>
  </si>
  <si>
    <t>Operations Manager</t>
  </si>
  <si>
    <t>Relocation</t>
  </si>
  <si>
    <t>Anika Sultana</t>
  </si>
  <si>
    <t>Business Analyst</t>
  </si>
  <si>
    <t>Job dissatisfaction</t>
  </si>
  <si>
    <t>Imran Hossain</t>
  </si>
  <si>
    <t>Financial Analyst</t>
  </si>
  <si>
    <t>Performance pressure</t>
  </si>
  <si>
    <t>Tania Ahmed</t>
  </si>
  <si>
    <t>HR Manager</t>
  </si>
  <si>
    <t>Career change</t>
  </si>
  <si>
    <t>Rafiul Islam</t>
  </si>
  <si>
    <t>Sales Manager</t>
  </si>
  <si>
    <t>Better compensation offer</t>
  </si>
  <si>
    <t>Jannatul Ferdous</t>
  </si>
  <si>
    <t>Customer Support</t>
  </si>
  <si>
    <t>Support Officer</t>
  </si>
  <si>
    <t>Family issues</t>
  </si>
  <si>
    <t>Nazmul Huda</t>
  </si>
  <si>
    <t>System Administrator</t>
  </si>
  <si>
    <t>Lack of growth opportunities</t>
  </si>
  <si>
    <t>Mahbub Alam</t>
  </si>
  <si>
    <t>Logistics Officer</t>
  </si>
  <si>
    <t>Resigned</t>
  </si>
  <si>
    <t>Management issues</t>
  </si>
  <si>
    <t>Sumi Akter</t>
  </si>
  <si>
    <t>Content Specialist</t>
  </si>
  <si>
    <t>Work environment</t>
  </si>
  <si>
    <t>Fahim Chowdhury</t>
  </si>
  <si>
    <t>Audit Officer</t>
  </si>
  <si>
    <t>Job security concerns</t>
  </si>
  <si>
    <t>Anwar Hossain</t>
  </si>
  <si>
    <t>Sales Representative</t>
  </si>
  <si>
    <t>Shift timing issues</t>
  </si>
  <si>
    <t>Rumana Karim</t>
  </si>
  <si>
    <t>Recruitment Officer</t>
  </si>
  <si>
    <t>Career advancement</t>
  </si>
  <si>
    <t>Shakib Hasan</t>
  </si>
  <si>
    <t>Database Administrator</t>
  </si>
  <si>
    <t>Retirement</t>
  </si>
  <si>
    <t>Mst. Farzana Begum</t>
  </si>
  <si>
    <t>Team Lead</t>
  </si>
  <si>
    <t>Personal business</t>
  </si>
  <si>
    <t>emp_id</t>
  </si>
  <si>
    <t>name</t>
  </si>
  <si>
    <t>gender</t>
  </si>
  <si>
    <t>department</t>
  </si>
  <si>
    <t>job_title</t>
  </si>
  <si>
    <t>hire_date</t>
  </si>
  <si>
    <t>date</t>
  </si>
  <si>
    <t>status</t>
  </si>
  <si>
    <t>review_date</t>
  </si>
  <si>
    <t>rating</t>
  </si>
  <si>
    <t>resign_date</t>
  </si>
  <si>
    <t>reason</t>
  </si>
  <si>
    <t>Total_employee</t>
  </si>
  <si>
    <t>avg_salary</t>
  </si>
  <si>
    <t>employee_name</t>
  </si>
  <si>
    <t>Top_10_performence</t>
  </si>
  <si>
    <t>over time</t>
  </si>
  <si>
    <t>Furniture</t>
  </si>
  <si>
    <t>Electronics</t>
  </si>
  <si>
    <t>Customer_name</t>
  </si>
  <si>
    <t>product_name</t>
  </si>
  <si>
    <t>order_date</t>
  </si>
  <si>
    <t>Mathematics</t>
  </si>
  <si>
    <t>Rafi</t>
  </si>
  <si>
    <t>English</t>
  </si>
  <si>
    <t>Sumi</t>
  </si>
  <si>
    <t>Physics</t>
  </si>
  <si>
    <t>Chemistry</t>
  </si>
  <si>
    <t>Biology</t>
  </si>
  <si>
    <t>Computer Science</t>
  </si>
  <si>
    <t>Nafiz</t>
  </si>
  <si>
    <t>Data Science</t>
  </si>
  <si>
    <t>Sheol</t>
  </si>
  <si>
    <t>Statistics</t>
  </si>
  <si>
    <t>Abu Saib</t>
  </si>
  <si>
    <t>Economics</t>
  </si>
  <si>
    <t>Accounting</t>
  </si>
  <si>
    <t>Rahim</t>
  </si>
  <si>
    <t>Management</t>
  </si>
  <si>
    <t>Karim</t>
  </si>
  <si>
    <t>Hasan</t>
  </si>
  <si>
    <t>Imran</t>
  </si>
  <si>
    <t>History</t>
  </si>
  <si>
    <t>Sabbir</t>
  </si>
  <si>
    <t>Geography</t>
  </si>
  <si>
    <t>Nayeem</t>
  </si>
  <si>
    <t>ICT</t>
  </si>
  <si>
    <t>Fahim</t>
  </si>
  <si>
    <t>Programming</t>
  </si>
  <si>
    <t>Siam</t>
  </si>
  <si>
    <t>AI Basics</t>
  </si>
  <si>
    <t>Mahmud</t>
  </si>
  <si>
    <t>Machine Learning</t>
  </si>
  <si>
    <t>Jubayer</t>
  </si>
  <si>
    <t>Database Systems</t>
  </si>
  <si>
    <t>NAME</t>
  </si>
  <si>
    <t>subject_name</t>
  </si>
  <si>
    <t>marks</t>
  </si>
  <si>
    <t>total_marks</t>
  </si>
  <si>
    <t>rank</t>
  </si>
  <si>
    <t>Top_student</t>
  </si>
  <si>
    <t>Top_student_score</t>
  </si>
  <si>
    <t>Avg_marks</t>
  </si>
  <si>
    <t>contribution_percentage</t>
  </si>
  <si>
    <t>Sum of Top_student_score</t>
  </si>
  <si>
    <t>Sum of rank</t>
  </si>
  <si>
    <t>(blank)</t>
  </si>
  <si>
    <t>Sum of Avg_marks</t>
  </si>
  <si>
    <t>Sum of marks</t>
  </si>
  <si>
    <t>Sum of contribution_percentage</t>
  </si>
  <si>
    <t>yes</t>
  </si>
  <si>
    <t>No</t>
  </si>
  <si>
    <t>Bangladesh</t>
  </si>
  <si>
    <t>Laptop</t>
  </si>
  <si>
    <t>Headphones</t>
  </si>
  <si>
    <t>Smartphone</t>
  </si>
  <si>
    <t>Bluetooth Speaker</t>
  </si>
  <si>
    <t>Smart Watch</t>
  </si>
  <si>
    <t>Office Chair</t>
  </si>
  <si>
    <t>Study Table</t>
  </si>
  <si>
    <t>Sofa Set</t>
  </si>
  <si>
    <t>Bed</t>
  </si>
  <si>
    <t>Bookshelf</t>
  </si>
  <si>
    <t>India</t>
  </si>
  <si>
    <t>Rohit</t>
  </si>
  <si>
    <t>Amit</t>
  </si>
  <si>
    <t>John</t>
  </si>
  <si>
    <t>USA</t>
  </si>
  <si>
    <t>Michael</t>
  </si>
  <si>
    <t>David</t>
  </si>
  <si>
    <t>UK</t>
  </si>
  <si>
    <t>Daniel</t>
  </si>
  <si>
    <t>Alex</t>
  </si>
  <si>
    <t>Canada</t>
  </si>
  <si>
    <t>country</t>
  </si>
  <si>
    <t>product_name,</t>
  </si>
  <si>
    <t>category</t>
  </si>
  <si>
    <t>price</t>
  </si>
  <si>
    <t>quanatity</t>
  </si>
  <si>
    <t>Top_5_products_sales</t>
  </si>
  <si>
    <t>customer_name</t>
  </si>
  <si>
    <t>Top_5_revenue</t>
  </si>
  <si>
    <t>revenue</t>
  </si>
  <si>
    <t xml:space="preserve">march    </t>
  </si>
  <si>
    <t xml:space="preserve">april    </t>
  </si>
  <si>
    <t xml:space="preserve">january  </t>
  </si>
  <si>
    <t xml:space="preserve">february </t>
  </si>
  <si>
    <t>month</t>
  </si>
  <si>
    <t>monthly_trend</t>
  </si>
  <si>
    <t>Sum of quanatity</t>
  </si>
  <si>
    <t>Sum of price</t>
  </si>
  <si>
    <t>Bangla</t>
  </si>
  <si>
    <t>Arif</t>
  </si>
  <si>
    <t>Nahid</t>
  </si>
  <si>
    <t>Saif</t>
  </si>
  <si>
    <t>Foysal</t>
  </si>
  <si>
    <t>Subject_name</t>
  </si>
  <si>
    <t>Top_students</t>
  </si>
  <si>
    <t>avg_marks</t>
  </si>
  <si>
    <t>student_rank</t>
  </si>
  <si>
    <t>pass</t>
  </si>
  <si>
    <t>result</t>
  </si>
  <si>
    <t>percentage</t>
  </si>
  <si>
    <t>Sum of Top_students</t>
  </si>
  <si>
    <t>Sum of avg_marks</t>
  </si>
  <si>
    <t>Sum of total_marks</t>
  </si>
  <si>
    <t>Sum of student_rank</t>
  </si>
  <si>
    <t>Analyst</t>
  </si>
  <si>
    <t>Junior Analyst</t>
  </si>
  <si>
    <t>Manager</t>
  </si>
  <si>
    <t>Sales Executive</t>
  </si>
  <si>
    <t>Senior Sales Executive</t>
  </si>
  <si>
    <t>Ayesha</t>
  </si>
  <si>
    <t>HR Assistant</t>
  </si>
  <si>
    <t>HR Executive</t>
  </si>
  <si>
    <t>Nusrat</t>
  </si>
  <si>
    <t>Support Agent</t>
  </si>
  <si>
    <t>Senior Support Agent</t>
  </si>
  <si>
    <t>Developer</t>
  </si>
  <si>
    <t>Leave</t>
  </si>
  <si>
    <t>Junior Developer</t>
  </si>
  <si>
    <t>emp_name</t>
  </si>
  <si>
    <t>age</t>
  </si>
  <si>
    <t>job_role</t>
  </si>
  <si>
    <t>performance_rating</t>
  </si>
  <si>
    <t>attrition</t>
  </si>
  <si>
    <t>work_date</t>
  </si>
  <si>
    <t>promotion_date</t>
  </si>
  <si>
    <t>old_role</t>
  </si>
  <si>
    <t>new_role</t>
  </si>
  <si>
    <t>Highest Salary</t>
  </si>
  <si>
    <t>Lowest Salary</t>
  </si>
  <si>
    <t>Average Salary</t>
  </si>
  <si>
    <t>Analytics</t>
  </si>
  <si>
    <t>Human Resources</t>
  </si>
  <si>
    <t>Department_name</t>
  </si>
  <si>
    <t>Count of emp_name</t>
  </si>
  <si>
    <t>Max of Salary</t>
  </si>
  <si>
    <t>Min of Salary</t>
  </si>
  <si>
    <t>Average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</si>
</sst>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845]_-;\-* #,##0[$৳-845]_-;_-* &quot;-&quot;??[$৳-845]_-;_-@_-"/>
  </numFmts>
  <fonts count="10" x14ac:knownFonts="1">
    <font>
      <sz val="11"/>
      <color theme="1"/>
      <name val="Calibri"/>
      <family val="2"/>
      <scheme val="minor"/>
    </font>
    <font>
      <b/>
      <sz val="11"/>
      <color theme="1"/>
      <name val="Calibri"/>
      <family val="2"/>
      <scheme val="minor"/>
    </font>
    <font>
      <sz val="8"/>
      <name val="Calibri"/>
      <family val="2"/>
      <scheme val="minor"/>
    </font>
    <font>
      <b/>
      <i/>
      <sz val="11"/>
      <color theme="1"/>
      <name val="Calibri"/>
      <family val="2"/>
      <scheme val="minor"/>
    </font>
    <font>
      <u/>
      <sz val="11"/>
      <color theme="10"/>
      <name val="Calibri"/>
      <family val="2"/>
      <scheme val="minor"/>
    </font>
    <font>
      <b/>
      <sz val="16"/>
      <color theme="1"/>
      <name val="Times New Roman"/>
      <family val="1"/>
    </font>
    <font>
      <b/>
      <sz val="12"/>
      <color theme="1"/>
      <name val="Calibri"/>
      <family val="2"/>
      <scheme val="minor"/>
    </font>
    <font>
      <i/>
      <sz val="11"/>
      <color theme="1"/>
      <name val="Calibri"/>
      <family val="2"/>
      <scheme val="minor"/>
    </font>
    <font>
      <b/>
      <i/>
      <sz val="12"/>
      <color theme="1"/>
      <name val="Calibri"/>
      <family val="2"/>
      <scheme val="minor"/>
    </font>
    <font>
      <b/>
      <i/>
      <sz val="14"/>
      <color theme="1"/>
      <name val="Calibri"/>
      <family val="2"/>
      <scheme val="minor"/>
    </font>
  </fonts>
  <fills count="20">
    <fill>
      <patternFill patternType="none"/>
    </fill>
    <fill>
      <patternFill patternType="gray125"/>
    </fill>
    <fill>
      <patternFill patternType="solid">
        <fgColor theme="7" tint="0.79998168889431442"/>
        <bgColor indexed="64"/>
      </patternFill>
    </fill>
    <fill>
      <patternFill patternType="solid">
        <fgColor theme="4" tint="0.59999389629810485"/>
        <bgColor indexed="64"/>
      </patternFill>
    </fill>
    <fill>
      <patternFill patternType="solid">
        <fgColor theme="1" tint="0.499984740745262"/>
        <bgColor indexed="64"/>
      </patternFill>
    </fill>
    <fill>
      <patternFill patternType="solid">
        <fgColor theme="4"/>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4" tint="0.39997558519241921"/>
        <bgColor indexed="64"/>
      </patternFill>
    </fill>
    <fill>
      <patternFill patternType="solid">
        <fgColor theme="2" tint="-9.9978637043366805E-2"/>
        <bgColor indexed="64"/>
      </patternFill>
    </fill>
    <fill>
      <patternFill patternType="solid">
        <fgColor theme="4" tint="-0.499984740745262"/>
        <bgColor indexed="64"/>
      </patternFill>
    </fill>
    <fill>
      <patternFill patternType="solid">
        <fgColor theme="3"/>
        <bgColor indexed="64"/>
      </patternFill>
    </fill>
    <fill>
      <patternFill patternType="solid">
        <fgColor theme="3" tint="-0.499984740745262"/>
        <bgColor indexed="64"/>
      </patternFill>
    </fill>
    <fill>
      <patternFill patternType="solid">
        <fgColor theme="1"/>
        <bgColor indexed="64"/>
      </patternFill>
    </fill>
    <fill>
      <patternFill patternType="solid">
        <fgColor theme="7" tint="-0.249977111117893"/>
        <bgColor indexed="64"/>
      </patternFill>
    </fill>
    <fill>
      <patternFill patternType="solid">
        <fgColor theme="5"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cellStyleXfs>
  <cellXfs count="67">
    <xf numFmtId="0" fontId="0" fillId="0" borderId="0" xfId="0"/>
    <xf numFmtId="0" fontId="0" fillId="0" borderId="0" xfId="0" applyAlignment="1">
      <alignment horizontal="center"/>
    </xf>
    <xf numFmtId="0" fontId="0" fillId="0" borderId="1" xfId="0" applyBorder="1" applyAlignment="1">
      <alignment horizontal="center"/>
    </xf>
    <xf numFmtId="0" fontId="0" fillId="0" borderId="0" xfId="0" applyAlignment="1">
      <alignment horizontal="right" vertical="center" wrapText="1"/>
    </xf>
    <xf numFmtId="0" fontId="1" fillId="0" borderId="0" xfId="0" applyFont="1" applyAlignment="1">
      <alignment horizontal="right" vertical="center" wrapText="1"/>
    </xf>
    <xf numFmtId="0" fontId="1" fillId="0" borderId="0" xfId="0" applyFont="1" applyAlignment="1">
      <alignment horizontal="center" vertical="center" wrapText="1"/>
    </xf>
    <xf numFmtId="0" fontId="0" fillId="0" borderId="0" xfId="0" applyAlignment="1">
      <alignment vertical="center" wrapText="1"/>
    </xf>
    <xf numFmtId="0" fontId="4" fillId="0" borderId="0" xfId="1" applyAlignment="1">
      <alignment vertical="center" wrapText="1"/>
    </xf>
    <xf numFmtId="0" fontId="1" fillId="0" borderId="0" xfId="0" applyFont="1" applyAlignment="1">
      <alignment horizontal="center" wrapText="1"/>
    </xf>
    <xf numFmtId="0" fontId="0" fillId="0" borderId="0" xfId="0" applyAlignment="1">
      <alignment vertical="center"/>
    </xf>
    <xf numFmtId="0" fontId="0" fillId="3" borderId="1" xfId="0" applyFill="1" applyBorder="1" applyAlignment="1">
      <alignment horizontal="center" vertical="center"/>
    </xf>
    <xf numFmtId="0" fontId="0" fillId="8" borderId="1" xfId="0" applyFill="1" applyBorder="1" applyAlignment="1">
      <alignment horizontal="center"/>
    </xf>
    <xf numFmtId="0" fontId="0" fillId="8" borderId="1" xfId="0" applyFill="1" applyBorder="1"/>
    <xf numFmtId="0" fontId="0" fillId="10" borderId="1" xfId="0" applyFill="1" applyBorder="1" applyAlignment="1">
      <alignment horizontal="center"/>
    </xf>
    <xf numFmtId="0" fontId="0" fillId="10" borderId="1" xfId="0" applyFill="1" applyBorder="1" applyAlignment="1">
      <alignment horizontal="left" vertical="top" indent="1"/>
    </xf>
    <xf numFmtId="0" fontId="0" fillId="10" borderId="1" xfId="0" applyFill="1" applyBorder="1" applyAlignment="1">
      <alignment horizontal="left" indent="2"/>
    </xf>
    <xf numFmtId="0" fontId="0" fillId="10" borderId="1" xfId="0" applyFill="1" applyBorder="1" applyAlignment="1">
      <alignment horizontal="left" vertical="center"/>
    </xf>
    <xf numFmtId="0" fontId="0" fillId="10" borderId="1" xfId="0" applyFill="1" applyBorder="1" applyAlignment="1">
      <alignment horizontal="left" indent="1"/>
    </xf>
    <xf numFmtId="0" fontId="0" fillId="10" borderId="1" xfId="0" applyFill="1" applyBorder="1" applyAlignment="1">
      <alignment horizontal="left" vertical="center" indent="1"/>
    </xf>
    <xf numFmtId="0" fontId="0" fillId="4" borderId="6" xfId="0"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xf numFmtId="0" fontId="0" fillId="0" borderId="1" xfId="0" applyBorder="1"/>
    <xf numFmtId="0" fontId="0" fillId="0" borderId="2" xfId="0" applyBorder="1" applyAlignment="1">
      <alignment horizontal="center"/>
    </xf>
    <xf numFmtId="0" fontId="5" fillId="11" borderId="1" xfId="0" applyFont="1" applyFill="1" applyBorder="1"/>
    <xf numFmtId="0" fontId="5" fillId="11" borderId="5" xfId="0" applyFont="1" applyFill="1" applyBorder="1"/>
    <xf numFmtId="0" fontId="5" fillId="11" borderId="8" xfId="0" applyFont="1" applyFill="1" applyBorder="1"/>
    <xf numFmtId="164" fontId="0" fillId="0" borderId="1" xfId="0" applyNumberFormat="1" applyBorder="1"/>
    <xf numFmtId="164" fontId="0" fillId="0" borderId="0" xfId="0" applyNumberFormat="1"/>
    <xf numFmtId="49" fontId="0" fillId="0" borderId="0" xfId="0" applyNumberFormat="1"/>
    <xf numFmtId="49" fontId="0" fillId="0" borderId="1" xfId="0" applyNumberFormat="1" applyBorder="1"/>
    <xf numFmtId="0" fontId="0" fillId="0" borderId="0" xfId="0" applyAlignment="1">
      <alignment horizontal="left"/>
    </xf>
    <xf numFmtId="0" fontId="0" fillId="0" borderId="0" xfId="0" pivotButton="1"/>
    <xf numFmtId="14" fontId="0" fillId="0" borderId="1" xfId="0" applyNumberFormat="1" applyBorder="1"/>
    <xf numFmtId="0" fontId="0" fillId="12" borderId="0" xfId="0" applyFill="1"/>
    <xf numFmtId="0" fontId="3" fillId="13" borderId="0" xfId="0" applyFont="1" applyFill="1" applyAlignment="1">
      <alignment horizontal="center"/>
    </xf>
    <xf numFmtId="0" fontId="0" fillId="0" borderId="0" xfId="0" applyAlignment="1">
      <alignment horizontal="left" indent="1"/>
    </xf>
    <xf numFmtId="0" fontId="6" fillId="6" borderId="1" xfId="0" applyFont="1" applyFill="1" applyBorder="1"/>
    <xf numFmtId="0" fontId="6" fillId="6" borderId="2" xfId="0" applyFont="1" applyFill="1" applyBorder="1"/>
    <xf numFmtId="14" fontId="0" fillId="0" borderId="2" xfId="0" applyNumberFormat="1" applyBorder="1"/>
    <xf numFmtId="0" fontId="0" fillId="14" borderId="0" xfId="0" applyFill="1"/>
    <xf numFmtId="0" fontId="6" fillId="6" borderId="8" xfId="0" applyFont="1" applyFill="1" applyBorder="1"/>
    <xf numFmtId="0" fontId="0" fillId="0" borderId="3" xfId="0" applyBorder="1"/>
    <xf numFmtId="0" fontId="0" fillId="15" borderId="0" xfId="0" applyFill="1"/>
    <xf numFmtId="0" fontId="8" fillId="15" borderId="0" xfId="0" applyFont="1" applyFill="1"/>
    <xf numFmtId="0" fontId="7" fillId="0" borderId="1" xfId="0" applyFont="1" applyBorder="1"/>
    <xf numFmtId="0" fontId="0" fillId="16" borderId="0" xfId="0" applyFill="1"/>
    <xf numFmtId="0" fontId="1" fillId="6" borderId="1" xfId="0" applyFont="1" applyFill="1" applyBorder="1"/>
    <xf numFmtId="0" fontId="0" fillId="6" borderId="1" xfId="0" applyFill="1" applyBorder="1"/>
    <xf numFmtId="0" fontId="0" fillId="17" borderId="0" xfId="0" applyFill="1"/>
    <xf numFmtId="0" fontId="8" fillId="18" borderId="1" xfId="0" applyFont="1" applyFill="1" applyBorder="1"/>
    <xf numFmtId="0" fontId="0" fillId="0" borderId="2" xfId="0" applyBorder="1"/>
    <xf numFmtId="0" fontId="8" fillId="19" borderId="1" xfId="0" applyFont="1" applyFill="1" applyBorder="1"/>
    <xf numFmtId="0" fontId="8" fillId="19" borderId="2" xfId="0" applyFont="1" applyFill="1" applyBorder="1"/>
    <xf numFmtId="0" fontId="3" fillId="13" borderId="1" xfId="0" applyFont="1" applyFill="1" applyBorder="1" applyAlignment="1">
      <alignment horizontal="center"/>
    </xf>
    <xf numFmtId="0" fontId="9" fillId="7" borderId="1" xfId="0" applyFont="1" applyFill="1" applyBorder="1"/>
    <xf numFmtId="0" fontId="0" fillId="0" borderId="1" xfId="0" pivotButton="1" applyBorder="1"/>
    <xf numFmtId="0" fontId="0" fillId="0" borderId="1" xfId="0" applyBorder="1" applyAlignment="1">
      <alignment horizontal="left"/>
    </xf>
    <xf numFmtId="0" fontId="0" fillId="0" borderId="0" xfId="0" applyAlignment="1">
      <alignment horizontal="center"/>
    </xf>
    <xf numFmtId="0" fontId="0" fillId="0" borderId="7" xfId="0" applyBorder="1" applyAlignment="1">
      <alignment horizontal="center"/>
    </xf>
    <xf numFmtId="0" fontId="0" fillId="5" borderId="1" xfId="0" applyFill="1" applyBorder="1" applyAlignment="1">
      <alignment horizontal="center"/>
    </xf>
    <xf numFmtId="0" fontId="0" fillId="7" borderId="1" xfId="0" applyFill="1" applyBorder="1" applyAlignment="1">
      <alignment horizontal="center" vertical="center"/>
    </xf>
    <xf numFmtId="0" fontId="0" fillId="3" borderId="0" xfId="0" applyFill="1" applyAlignment="1">
      <alignment horizontal="center"/>
    </xf>
    <xf numFmtId="0" fontId="0" fillId="9" borderId="1" xfId="0" applyFill="1" applyBorder="1" applyAlignment="1">
      <alignment horizontal="center"/>
    </xf>
    <xf numFmtId="0" fontId="0" fillId="9" borderId="5" xfId="0" applyFill="1" applyBorder="1" applyAlignment="1">
      <alignment horizontal="center"/>
    </xf>
    <xf numFmtId="0" fontId="0" fillId="0" borderId="4" xfId="0" applyBorder="1" applyAlignment="1">
      <alignment horizontal="center"/>
    </xf>
    <xf numFmtId="0" fontId="0" fillId="2" borderId="1" xfId="0" applyFill="1" applyBorder="1" applyAlignment="1">
      <alignment horizontal="center" vertical="center"/>
    </xf>
  </cellXfs>
  <cellStyles count="2">
    <cellStyle name="Hyperlink" xfId="1" builtinId="8"/>
    <cellStyle name="Normal" xfId="0" builtinId="0"/>
  </cellStyles>
  <dxfs count="3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24994659260841701"/>
        </patternFill>
      </fill>
    </dxf>
    <dxf>
      <fill>
        <patternFill>
          <bgColor theme="8" tint="0.59996337778862885"/>
        </patternFill>
      </fill>
    </dxf>
    <dxf>
      <fill>
        <patternFill>
          <bgColor rgb="FF00B0F0"/>
        </patternFill>
      </fill>
    </dxf>
    <dxf>
      <fill>
        <patternFill>
          <bgColor theme="8" tint="0.39994506668294322"/>
        </patternFill>
      </fill>
    </dxf>
    <dxf>
      <fill>
        <patternFill>
          <bgColor rgb="FF00B050"/>
        </patternFill>
      </fill>
    </dxf>
    <dxf>
      <fill>
        <patternFill patternType="solid">
          <fgColor auto="1"/>
          <bgColor theme="4"/>
        </patternFill>
      </fill>
    </dxf>
    <dxf>
      <border>
        <left style="thin">
          <color theme="3" tint="0.79998168889431442"/>
        </left>
        <right style="thin">
          <color theme="3" tint="0.79998168889431442"/>
        </right>
        <top style="thin">
          <color theme="3" tint="0.79998168889431442"/>
        </top>
        <bottom style="thin">
          <color theme="3" tint="0.79998168889431442"/>
        </bottom>
      </border>
    </dxf>
    <dxf>
      <font>
        <color theme="1"/>
      </font>
      <fill>
        <patternFill>
          <bgColor theme="4" tint="0.59996337778862885"/>
        </patternFill>
      </fill>
      <border>
        <left style="thin">
          <color auto="1"/>
        </left>
        <right style="thin">
          <color auto="1"/>
        </right>
        <top style="thin">
          <color auto="1"/>
        </top>
        <bottom style="thin">
          <color auto="1"/>
        </bottom>
      </border>
    </dxf>
    <dxf>
      <font>
        <b val="0"/>
        <i/>
        <color theme="1"/>
      </font>
      <fill>
        <patternFill>
          <bgColor theme="4" tint="0.79998168889431442"/>
        </patternFill>
      </fill>
      <border diagonalUp="0" diagonalDown="0">
        <left/>
        <right/>
        <top/>
        <bottom/>
        <vertical/>
        <horizontal/>
      </border>
    </dxf>
    <dxf>
      <fill>
        <patternFill>
          <bgColor theme="4"/>
        </patternFill>
      </fill>
    </dxf>
  </dxfs>
  <tableStyles count="6" defaultTableStyle="TableStyleMedium2" defaultPivotStyle="PivotStyleLight16">
    <tableStyle name="Slicer Style 1" pivot="0" table="0" count="1" xr9:uid="{70C1AD38-8968-4F87-B7E7-9CF055FF223F}">
      <tableStyleElement type="wholeTable" dxfId="30"/>
    </tableStyle>
    <tableStyle name="Slicer Style 2" pivot="0" table="0" count="0" xr9:uid="{0BC18A25-4AF6-4480-92D0-45063E7F8997}"/>
    <tableStyle name="Slicer Style 3" pivot="0" table="0" count="1" xr9:uid="{315346B1-B730-4285-897E-E33231372B17}">
      <tableStyleElement type="wholeTable" dxfId="29"/>
    </tableStyle>
    <tableStyle name="Slicer Style 4" pivot="0" table="0" count="1" xr9:uid="{12BD69B1-A358-4DAA-A84C-8A842F483A30}">
      <tableStyleElement type="wholeTable" dxfId="28"/>
    </tableStyle>
    <tableStyle name="Slicer Style 5" pivot="0" table="0" count="1" xr9:uid="{EF4094D4-B7FD-4C64-A9B6-5E4BD2B1FF34}">
      <tableStyleElement type="wholeTable" dxfId="27"/>
    </tableStyle>
    <tableStyle name="Slicer Style 6" pivot="0" table="0" count="1" xr9:uid="{72B0A630-D272-4A56-9085-4FA205BA8FA6}">
      <tableStyleElement type="wholeTable" dxfId="26"/>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pivotCacheDefinition" Target="pivotCache/pivotCacheDefinition10.xml"/><Relationship Id="rId39" Type="http://schemas.microsoft.com/office/2007/relationships/slicerCache" Target="slicerCaches/slicerCache10.xml"/><Relationship Id="rId21" Type="http://schemas.openxmlformats.org/officeDocument/2006/relationships/pivotCacheDefinition" Target="pivotCache/pivotCacheDefinition5.xml"/><Relationship Id="rId34" Type="http://schemas.microsoft.com/office/2007/relationships/slicerCache" Target="slicerCaches/slicerCache5.xml"/><Relationship Id="rId42" Type="http://schemas.microsoft.com/office/2007/relationships/slicerCache" Target="slicerCaches/slicerCache13.xml"/><Relationship Id="rId47" Type="http://schemas.microsoft.com/office/2007/relationships/slicerCache" Target="slicerCaches/slicerCache18.xml"/><Relationship Id="rId50" Type="http://schemas.microsoft.com/office/2007/relationships/slicerCache" Target="slicerCaches/slicerCache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3.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microsoft.com/office/2007/relationships/slicerCache" Target="slicerCaches/slicerCache3.xml"/><Relationship Id="rId37" Type="http://schemas.microsoft.com/office/2007/relationships/slicerCache" Target="slicerCaches/slicerCache8.xml"/><Relationship Id="rId40" Type="http://schemas.microsoft.com/office/2007/relationships/slicerCache" Target="slicerCaches/slicerCache11.xml"/><Relationship Id="rId45" Type="http://schemas.microsoft.com/office/2007/relationships/slicerCache" Target="slicerCaches/slicerCache16.xml"/><Relationship Id="rId53" Type="http://schemas.microsoft.com/office/2007/relationships/slicerCache" Target="slicerCaches/slicerCache24.xml"/><Relationship Id="rId5" Type="http://schemas.openxmlformats.org/officeDocument/2006/relationships/worksheet" Target="worksheets/sheet5.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30" Type="http://schemas.microsoft.com/office/2007/relationships/slicerCache" Target="slicerCaches/slicerCache1.xml"/><Relationship Id="rId35" Type="http://schemas.microsoft.com/office/2007/relationships/slicerCache" Target="slicerCaches/slicerCache6.xml"/><Relationship Id="rId43" Type="http://schemas.microsoft.com/office/2007/relationships/slicerCache" Target="slicerCaches/slicerCache14.xml"/><Relationship Id="rId48" Type="http://schemas.microsoft.com/office/2007/relationships/slicerCache" Target="slicerCaches/slicerCache19.xml"/><Relationship Id="rId56" Type="http://schemas.openxmlformats.org/officeDocument/2006/relationships/sharedStrings" Target="sharedStrings.xml"/><Relationship Id="rId8" Type="http://schemas.openxmlformats.org/officeDocument/2006/relationships/worksheet" Target="worksheets/sheet8.xml"/><Relationship Id="rId51" Type="http://schemas.microsoft.com/office/2007/relationships/slicerCache" Target="slicerCaches/slicerCache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microsoft.com/office/2007/relationships/slicerCache" Target="slicerCaches/slicerCache4.xml"/><Relationship Id="rId38" Type="http://schemas.microsoft.com/office/2007/relationships/slicerCache" Target="slicerCaches/slicerCache9.xml"/><Relationship Id="rId46" Type="http://schemas.microsoft.com/office/2007/relationships/slicerCache" Target="slicerCaches/slicerCache17.xml"/><Relationship Id="rId20" Type="http://schemas.openxmlformats.org/officeDocument/2006/relationships/pivotCacheDefinition" Target="pivotCache/pivotCacheDefinition4.xml"/><Relationship Id="rId41" Type="http://schemas.microsoft.com/office/2007/relationships/slicerCache" Target="slicerCaches/slicerCache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microsoft.com/office/2007/relationships/slicerCache" Target="slicerCaches/slicerCache7.xml"/><Relationship Id="rId49" Type="http://schemas.microsoft.com/office/2007/relationships/slicerCache" Target="slicerCaches/slicerCache20.xml"/><Relationship Id="rId57" Type="http://schemas.openxmlformats.org/officeDocument/2006/relationships/calcChain" Target="calcChain.xml"/><Relationship Id="rId10" Type="http://schemas.openxmlformats.org/officeDocument/2006/relationships/worksheet" Target="worksheets/sheet10.xml"/><Relationship Id="rId31" Type="http://schemas.microsoft.com/office/2007/relationships/slicerCache" Target="slicerCaches/slicerCache2.xml"/><Relationship Id="rId44" Type="http://schemas.microsoft.com/office/2007/relationships/slicerCache" Target="slicerCaches/slicerCache15.xml"/><Relationship Id="rId52" Type="http://schemas.microsoft.com/office/2007/relationships/slicerCache" Target="slicerCaches/slicerCache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Analysis.xlsx]Sheet9!PivotTable1</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478268606254739E-2"/>
          <c:y val="2.1273102107911251E-2"/>
          <c:w val="0.80401031685069546"/>
          <c:h val="0.6076742490522018"/>
        </c:manualLayout>
      </c:layout>
      <c:bar3DChart>
        <c:barDir val="col"/>
        <c:grouping val="stacked"/>
        <c:varyColors val="0"/>
        <c:ser>
          <c:idx val="0"/>
          <c:order val="0"/>
          <c:tx>
            <c:strRef>
              <c:f>Sheet9!$B$5:$B$6</c:f>
              <c:strCache>
                <c:ptCount val="1"/>
                <c:pt idx="0">
                  <c:v>January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Sheet9!$B$7:$B$17</c:f>
              <c:numCache>
                <c:formatCode>_-* #,##0[$৳-845]_-;\-* #,##0[$৳-845]_-;_-* "-"??[$৳-845]_-;_-@_-</c:formatCode>
                <c:ptCount val="10"/>
                <c:pt idx="0">
                  <c:v>200</c:v>
                </c:pt>
              </c:numCache>
            </c:numRef>
          </c:val>
          <c:extLst>
            <c:ext xmlns:c16="http://schemas.microsoft.com/office/drawing/2014/chart" uri="{C3380CC4-5D6E-409C-BE32-E72D297353CC}">
              <c16:uniqueId val="{00000000-E46E-4A80-AF57-26639AFC6514}"/>
            </c:ext>
          </c:extLst>
        </c:ser>
        <c:ser>
          <c:idx val="1"/>
          <c:order val="1"/>
          <c:tx>
            <c:strRef>
              <c:f>Sheet9!$C$5:$C$6</c:f>
              <c:strCache>
                <c:ptCount val="1"/>
                <c:pt idx="0">
                  <c:v>February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Sheet9!$C$7:$C$17</c:f>
              <c:numCache>
                <c:formatCode>_-* #,##0[$৳-845]_-;\-* #,##0[$৳-845]_-;_-* "-"??[$৳-845]_-;_-@_-</c:formatCode>
                <c:ptCount val="10"/>
                <c:pt idx="7">
                  <c:v>300</c:v>
                </c:pt>
              </c:numCache>
            </c:numRef>
          </c:val>
          <c:extLst>
            <c:ext xmlns:c16="http://schemas.microsoft.com/office/drawing/2014/chart" uri="{C3380CC4-5D6E-409C-BE32-E72D297353CC}">
              <c16:uniqueId val="{00000001-607F-4E23-80F2-469B82BC6AE3}"/>
            </c:ext>
          </c:extLst>
        </c:ser>
        <c:ser>
          <c:idx val="2"/>
          <c:order val="2"/>
          <c:tx>
            <c:strRef>
              <c:f>Sheet9!$D$5:$D$6</c:f>
              <c:strCache>
                <c:ptCount val="1"/>
                <c:pt idx="0">
                  <c:v>March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Sheet9!$D$7:$D$17</c:f>
              <c:numCache>
                <c:formatCode>_-* #,##0[$৳-845]_-;\-* #,##0[$৳-845]_-;_-* "-"??[$৳-845]_-;_-@_-</c:formatCode>
                <c:ptCount val="10"/>
                <c:pt idx="6">
                  <c:v>400</c:v>
                </c:pt>
              </c:numCache>
            </c:numRef>
          </c:val>
          <c:extLst>
            <c:ext xmlns:c16="http://schemas.microsoft.com/office/drawing/2014/chart" uri="{C3380CC4-5D6E-409C-BE32-E72D297353CC}">
              <c16:uniqueId val="{00000002-607F-4E23-80F2-469B82BC6AE3}"/>
            </c:ext>
          </c:extLst>
        </c:ser>
        <c:ser>
          <c:idx val="3"/>
          <c:order val="3"/>
          <c:tx>
            <c:strRef>
              <c:f>Sheet9!$E$5:$E$6</c:f>
              <c:strCache>
                <c:ptCount val="1"/>
                <c:pt idx="0">
                  <c:v>April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Sheet9!$E$7:$E$17</c:f>
              <c:numCache>
                <c:formatCode>_-* #,##0[$৳-845]_-;\-* #,##0[$৳-845]_-;_-* "-"??[$৳-845]_-;_-@_-</c:formatCode>
                <c:ptCount val="10"/>
                <c:pt idx="3">
                  <c:v>500</c:v>
                </c:pt>
              </c:numCache>
            </c:numRef>
          </c:val>
          <c:extLst>
            <c:ext xmlns:c16="http://schemas.microsoft.com/office/drawing/2014/chart" uri="{C3380CC4-5D6E-409C-BE32-E72D297353CC}">
              <c16:uniqueId val="{00000003-607F-4E23-80F2-469B82BC6AE3}"/>
            </c:ext>
          </c:extLst>
        </c:ser>
        <c:ser>
          <c:idx val="4"/>
          <c:order val="4"/>
          <c:tx>
            <c:strRef>
              <c:f>Sheet9!$F$5:$F$6</c:f>
              <c:strCache>
                <c:ptCount val="1"/>
                <c:pt idx="0">
                  <c:v>May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Sheet9!$F$7:$F$17</c:f>
              <c:numCache>
                <c:formatCode>_-* #,##0[$৳-845]_-;\-* #,##0[$৳-845]_-;_-* "-"??[$৳-845]_-;_-@_-</c:formatCode>
                <c:ptCount val="10"/>
                <c:pt idx="5">
                  <c:v>600</c:v>
                </c:pt>
              </c:numCache>
            </c:numRef>
          </c:val>
          <c:extLst>
            <c:ext xmlns:c16="http://schemas.microsoft.com/office/drawing/2014/chart" uri="{C3380CC4-5D6E-409C-BE32-E72D297353CC}">
              <c16:uniqueId val="{00000004-607F-4E23-80F2-469B82BC6AE3}"/>
            </c:ext>
          </c:extLst>
        </c:ser>
        <c:ser>
          <c:idx val="5"/>
          <c:order val="5"/>
          <c:tx>
            <c:strRef>
              <c:f>Sheet9!$G$5:$G$6</c:f>
              <c:strCache>
                <c:ptCount val="1"/>
                <c:pt idx="0">
                  <c:v>June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Sheet9!$G$7:$G$17</c:f>
              <c:numCache>
                <c:formatCode>_-* #,##0[$৳-845]_-;\-* #,##0[$৳-845]_-;_-* "-"??[$৳-845]_-;_-@_-</c:formatCode>
                <c:ptCount val="10"/>
                <c:pt idx="8">
                  <c:v>700</c:v>
                </c:pt>
              </c:numCache>
            </c:numRef>
          </c:val>
          <c:extLst>
            <c:ext xmlns:c16="http://schemas.microsoft.com/office/drawing/2014/chart" uri="{C3380CC4-5D6E-409C-BE32-E72D297353CC}">
              <c16:uniqueId val="{00000005-607F-4E23-80F2-469B82BC6AE3}"/>
            </c:ext>
          </c:extLst>
        </c:ser>
        <c:ser>
          <c:idx val="6"/>
          <c:order val="6"/>
          <c:tx>
            <c:strRef>
              <c:f>Sheet9!$H$5:$H$6</c:f>
              <c:strCache>
                <c:ptCount val="1"/>
                <c:pt idx="0">
                  <c:v>July</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Sheet9!$H$7:$H$17</c:f>
              <c:numCache>
                <c:formatCode>_-* #,##0[$৳-845]_-;\-* #,##0[$৳-845]_-;_-* "-"??[$৳-845]_-;_-@_-</c:formatCode>
                <c:ptCount val="10"/>
                <c:pt idx="1">
                  <c:v>800</c:v>
                </c:pt>
              </c:numCache>
            </c:numRef>
          </c:val>
          <c:extLst>
            <c:ext xmlns:c16="http://schemas.microsoft.com/office/drawing/2014/chart" uri="{C3380CC4-5D6E-409C-BE32-E72D297353CC}">
              <c16:uniqueId val="{00000006-607F-4E23-80F2-469B82BC6AE3}"/>
            </c:ext>
          </c:extLst>
        </c:ser>
        <c:ser>
          <c:idx val="7"/>
          <c:order val="7"/>
          <c:tx>
            <c:strRef>
              <c:f>Sheet9!$I$5:$I$6</c:f>
              <c:strCache>
                <c:ptCount val="1"/>
                <c:pt idx="0">
                  <c:v>August</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Sheet9!$I$7:$I$17</c:f>
              <c:numCache>
                <c:formatCode>_-* #,##0[$৳-845]_-;\-* #,##0[$৳-845]_-;_-* "-"??[$৳-845]_-;_-@_-</c:formatCode>
                <c:ptCount val="10"/>
                <c:pt idx="9">
                  <c:v>900</c:v>
                </c:pt>
              </c:numCache>
            </c:numRef>
          </c:val>
          <c:extLst>
            <c:ext xmlns:c16="http://schemas.microsoft.com/office/drawing/2014/chart" uri="{C3380CC4-5D6E-409C-BE32-E72D297353CC}">
              <c16:uniqueId val="{00000007-607F-4E23-80F2-469B82BC6AE3}"/>
            </c:ext>
          </c:extLst>
        </c:ser>
        <c:ser>
          <c:idx val="8"/>
          <c:order val="8"/>
          <c:tx>
            <c:strRef>
              <c:f>Sheet9!$J$5:$J$6</c:f>
              <c:strCache>
                <c:ptCount val="1"/>
                <c:pt idx="0">
                  <c:v>September</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Sheet9!$J$7:$J$17</c:f>
              <c:numCache>
                <c:formatCode>_-* #,##0[$৳-845]_-;\-* #,##0[$৳-845]_-;_-* "-"??[$৳-845]_-;_-@_-</c:formatCode>
                <c:ptCount val="10"/>
                <c:pt idx="2">
                  <c:v>1000</c:v>
                </c:pt>
              </c:numCache>
            </c:numRef>
          </c:val>
          <c:extLst>
            <c:ext xmlns:c16="http://schemas.microsoft.com/office/drawing/2014/chart" uri="{C3380CC4-5D6E-409C-BE32-E72D297353CC}">
              <c16:uniqueId val="{00000008-607F-4E23-80F2-469B82BC6AE3}"/>
            </c:ext>
          </c:extLst>
        </c:ser>
        <c:ser>
          <c:idx val="9"/>
          <c:order val="9"/>
          <c:tx>
            <c:strRef>
              <c:f>Sheet9!$K$5:$K$6</c:f>
              <c:strCache>
                <c:ptCount val="1"/>
                <c:pt idx="0">
                  <c:v>October</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Sheet9!$A$7:$A$17</c:f>
              <c:strCache>
                <c:ptCount val="10"/>
                <c:pt idx="0">
                  <c:v>Abu Bakker</c:v>
                </c:pt>
                <c:pt idx="1">
                  <c:v>Arafat</c:v>
                </c:pt>
                <c:pt idx="2">
                  <c:v>Rakib</c:v>
                </c:pt>
                <c:pt idx="3">
                  <c:v>Rana</c:v>
                </c:pt>
                <c:pt idx="4">
                  <c:v>Rohan</c:v>
                </c:pt>
                <c:pt idx="5">
                  <c:v>Shakib</c:v>
                </c:pt>
                <c:pt idx="6">
                  <c:v>Shoan</c:v>
                </c:pt>
                <c:pt idx="7">
                  <c:v>Siddik</c:v>
                </c:pt>
                <c:pt idx="8">
                  <c:v>Somun</c:v>
                </c:pt>
                <c:pt idx="9">
                  <c:v>Tamim</c:v>
                </c:pt>
              </c:strCache>
            </c:strRef>
          </c:cat>
          <c:val>
            <c:numRef>
              <c:f>Sheet9!$K$7:$K$17</c:f>
              <c:numCache>
                <c:formatCode>_-* #,##0[$৳-845]_-;\-* #,##0[$৳-845]_-;_-* "-"??[$৳-845]_-;_-@_-</c:formatCode>
                <c:ptCount val="10"/>
                <c:pt idx="4">
                  <c:v>1100</c:v>
                </c:pt>
              </c:numCache>
            </c:numRef>
          </c:val>
          <c:extLst>
            <c:ext xmlns:c16="http://schemas.microsoft.com/office/drawing/2014/chart" uri="{C3380CC4-5D6E-409C-BE32-E72D297353CC}">
              <c16:uniqueId val="{00000009-607F-4E23-80F2-469B82BC6AE3}"/>
            </c:ext>
          </c:extLst>
        </c:ser>
        <c:dLbls>
          <c:showLegendKey val="0"/>
          <c:showVal val="1"/>
          <c:showCatName val="0"/>
          <c:showSerName val="0"/>
          <c:showPercent val="0"/>
          <c:showBubbleSize val="0"/>
        </c:dLbls>
        <c:gapWidth val="150"/>
        <c:shape val="box"/>
        <c:axId val="1770991600"/>
        <c:axId val="1771018000"/>
        <c:axId val="0"/>
      </c:bar3DChart>
      <c:catAx>
        <c:axId val="1770991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1018000"/>
        <c:crosses val="autoZero"/>
        <c:auto val="1"/>
        <c:lblAlgn val="ctr"/>
        <c:lblOffset val="100"/>
        <c:noMultiLvlLbl val="0"/>
      </c:catAx>
      <c:valAx>
        <c:axId val="1771018000"/>
        <c:scaling>
          <c:orientation val="minMax"/>
        </c:scaling>
        <c:delete val="0"/>
        <c:axPos val="l"/>
        <c:majorGridlines>
          <c:spPr>
            <a:ln w="9525" cap="flat" cmpd="sng" algn="ctr">
              <a:solidFill>
                <a:schemeClr val="dk1">
                  <a:lumMod val="50000"/>
                  <a:lumOff val="50000"/>
                </a:schemeClr>
              </a:solidFill>
              <a:round/>
            </a:ln>
            <a:effectLst/>
          </c:spPr>
        </c:majorGridlines>
        <c:numFmt formatCode="_-* #,##0[$৳-845]_-;\-* #,##0[$৳-845]_-;_-* &quot;-&quot;??[$৳-845]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099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Analysis.xlsx]Sheet9!PivotTable3</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12"/>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590322728034236E-2"/>
          <c:y val="0.38167564577370416"/>
          <c:w val="0.67436644887474173"/>
          <c:h val="0.51363643022421146"/>
        </c:manualLayout>
      </c:layout>
      <c:pie3DChart>
        <c:varyColors val="1"/>
        <c:ser>
          <c:idx val="0"/>
          <c:order val="0"/>
          <c:tx>
            <c:strRef>
              <c:f>Sheet9!$O$7</c:f>
              <c:strCache>
                <c:ptCount val="1"/>
                <c:pt idx="0">
                  <c:v>Sum of Sales Value2</c:v>
                </c:pt>
              </c:strCache>
            </c:strRef>
          </c:tx>
          <c:explosion val="17"/>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3-0765-4967-BD80-0FB2E3BC997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4-0765-4967-BD80-0FB2E3BC997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0765-4967-BD80-0FB2E3BC997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6-0765-4967-BD80-0FB2E3BC997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7-0765-4967-BD80-0FB2E3BC997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8-0765-4967-BD80-0FB2E3BC997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9-0765-4967-BD80-0FB2E3BC997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A-0765-4967-BD80-0FB2E3BC997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B-0765-4967-BD80-0FB2E3BC997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C-0765-4967-BD80-0FB2E3BC99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Sheet9!$N$8:$N$18</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Sheet9!$O$8:$O$18</c:f>
              <c:numCache>
                <c:formatCode>_-* #,##0[$৳-845]_-;\-* #,##0[$৳-845]_-;_-* "-"??[$৳-845]_-;_-@_-</c:formatCode>
                <c:ptCount val="10"/>
                <c:pt idx="0">
                  <c:v>10000</c:v>
                </c:pt>
                <c:pt idx="1">
                  <c:v>9000</c:v>
                </c:pt>
                <c:pt idx="2">
                  <c:v>8000</c:v>
                </c:pt>
                <c:pt idx="3">
                  <c:v>7000</c:v>
                </c:pt>
                <c:pt idx="4">
                  <c:v>6000</c:v>
                </c:pt>
                <c:pt idx="5">
                  <c:v>5000</c:v>
                </c:pt>
                <c:pt idx="6">
                  <c:v>4000</c:v>
                </c:pt>
                <c:pt idx="7">
                  <c:v>3000</c:v>
                </c:pt>
                <c:pt idx="8">
                  <c:v>2000</c:v>
                </c:pt>
                <c:pt idx="9">
                  <c:v>1000</c:v>
                </c:pt>
              </c:numCache>
            </c:numRef>
          </c:val>
          <c:extLst>
            <c:ext xmlns:c16="http://schemas.microsoft.com/office/drawing/2014/chart" uri="{C3380CC4-5D6E-409C-BE32-E72D297353CC}">
              <c16:uniqueId val="{00000000-0765-4967-BD80-0FB2E3BC9976}"/>
            </c:ext>
          </c:extLst>
        </c:ser>
        <c:ser>
          <c:idx val="1"/>
          <c:order val="1"/>
          <c:tx>
            <c:strRef>
              <c:f>Sheet9!$P$7</c:f>
              <c:strCache>
                <c:ptCount val="1"/>
                <c:pt idx="0">
                  <c:v>Sum of Sales Value1</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D-0765-4967-BD80-0FB2E3BC997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E-0765-4967-BD80-0FB2E3BC997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F-0765-4967-BD80-0FB2E3BC997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10-0765-4967-BD80-0FB2E3BC997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11-0765-4967-BD80-0FB2E3BC997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12-0765-4967-BD80-0FB2E3BC997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3-0765-4967-BD80-0FB2E3BC997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4-0765-4967-BD80-0FB2E3BC997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5-0765-4967-BD80-0FB2E3BC997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6-0765-4967-BD80-0FB2E3BC99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Sheet9!$N$8:$N$18</c:f>
              <c:strCache>
                <c:ptCount val="10"/>
                <c:pt idx="0">
                  <c:v>January</c:v>
                </c:pt>
                <c:pt idx="1">
                  <c:v>February</c:v>
                </c:pt>
                <c:pt idx="2">
                  <c:v>March</c:v>
                </c:pt>
                <c:pt idx="3">
                  <c:v>April</c:v>
                </c:pt>
                <c:pt idx="4">
                  <c:v>May</c:v>
                </c:pt>
                <c:pt idx="5">
                  <c:v>June</c:v>
                </c:pt>
                <c:pt idx="6">
                  <c:v>July</c:v>
                </c:pt>
                <c:pt idx="7">
                  <c:v>August</c:v>
                </c:pt>
                <c:pt idx="8">
                  <c:v>September</c:v>
                </c:pt>
                <c:pt idx="9">
                  <c:v>October</c:v>
                </c:pt>
              </c:strCache>
            </c:strRef>
          </c:cat>
          <c:val>
            <c:numRef>
              <c:f>Sheet9!$P$8:$P$18</c:f>
              <c:numCache>
                <c:formatCode>_-* #,##0[$৳-845]_-;\-* #,##0[$৳-845]_-;_-* "-"??[$৳-845]_-;_-@_-</c:formatCode>
                <c:ptCount val="10"/>
                <c:pt idx="0">
                  <c:v>200</c:v>
                </c:pt>
                <c:pt idx="1">
                  <c:v>300</c:v>
                </c:pt>
                <c:pt idx="2">
                  <c:v>400</c:v>
                </c:pt>
                <c:pt idx="3">
                  <c:v>500</c:v>
                </c:pt>
                <c:pt idx="4">
                  <c:v>600</c:v>
                </c:pt>
                <c:pt idx="5">
                  <c:v>700</c:v>
                </c:pt>
                <c:pt idx="6">
                  <c:v>800</c:v>
                </c:pt>
                <c:pt idx="7">
                  <c:v>900</c:v>
                </c:pt>
                <c:pt idx="8">
                  <c:v>1000</c:v>
                </c:pt>
                <c:pt idx="9">
                  <c:v>1100</c:v>
                </c:pt>
              </c:numCache>
            </c:numRef>
          </c:val>
          <c:extLst>
            <c:ext xmlns:c16="http://schemas.microsoft.com/office/drawing/2014/chart" uri="{C3380CC4-5D6E-409C-BE32-E72D297353CC}">
              <c16:uniqueId val="{00000001-0765-4967-BD80-0FB2E3BC997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Analysis.xlsx]Sheet9!PivotTable5</c:name>
    <c:fmtId val="7"/>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17591621011166"/>
          <c:y val="0.1290249411798253"/>
          <c:w val="0.49611483749716473"/>
          <c:h val="0.81369218479797045"/>
        </c:manualLayout>
      </c:layout>
      <c:barChart>
        <c:barDir val="bar"/>
        <c:grouping val="stacked"/>
        <c:varyColors val="0"/>
        <c:ser>
          <c:idx val="0"/>
          <c:order val="0"/>
          <c:tx>
            <c:strRef>
              <c:f>Sheet9!$S$7</c:f>
              <c:strCache>
                <c:ptCount val="1"/>
                <c:pt idx="0">
                  <c:v>Average of Sales Value2</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Sheet9!$R$8:$R$15</c:f>
              <c:strCache>
                <c:ptCount val="7"/>
                <c:pt idx="0">
                  <c:v>Tuesday</c:v>
                </c:pt>
                <c:pt idx="1">
                  <c:v>Saturday</c:v>
                </c:pt>
                <c:pt idx="2">
                  <c:v>Wednesday</c:v>
                </c:pt>
                <c:pt idx="3">
                  <c:v>Sunday</c:v>
                </c:pt>
                <c:pt idx="4">
                  <c:v>Thursday</c:v>
                </c:pt>
                <c:pt idx="5">
                  <c:v>Monday</c:v>
                </c:pt>
                <c:pt idx="6">
                  <c:v>Friday</c:v>
                </c:pt>
              </c:strCache>
            </c:strRef>
          </c:cat>
          <c:val>
            <c:numRef>
              <c:f>Sheet9!$S$8:$S$15</c:f>
              <c:numCache>
                <c:formatCode>_-* #,##0[$৳-845]_-;\-* #,##0[$৳-845]_-;_-* "-"??[$৳-845]_-;_-@_-</c:formatCode>
                <c:ptCount val="7"/>
                <c:pt idx="0">
                  <c:v>7000</c:v>
                </c:pt>
                <c:pt idx="1">
                  <c:v>6500</c:v>
                </c:pt>
                <c:pt idx="2">
                  <c:v>6000</c:v>
                </c:pt>
                <c:pt idx="3">
                  <c:v>5500</c:v>
                </c:pt>
                <c:pt idx="4">
                  <c:v>5000</c:v>
                </c:pt>
                <c:pt idx="5">
                  <c:v>4500</c:v>
                </c:pt>
                <c:pt idx="6">
                  <c:v>4000</c:v>
                </c:pt>
              </c:numCache>
            </c:numRef>
          </c:val>
          <c:extLst>
            <c:ext xmlns:c16="http://schemas.microsoft.com/office/drawing/2014/chart" uri="{C3380CC4-5D6E-409C-BE32-E72D297353CC}">
              <c16:uniqueId val="{00000000-1674-40ED-9312-478152311CB0}"/>
            </c:ext>
          </c:extLst>
        </c:ser>
        <c:ser>
          <c:idx val="1"/>
          <c:order val="1"/>
          <c:tx>
            <c:strRef>
              <c:f>Sheet9!$T$7</c:f>
              <c:strCache>
                <c:ptCount val="1"/>
                <c:pt idx="0">
                  <c:v>Average of Sales Value1</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Sheet9!$R$8:$R$15</c:f>
              <c:strCache>
                <c:ptCount val="7"/>
                <c:pt idx="0">
                  <c:v>Tuesday</c:v>
                </c:pt>
                <c:pt idx="1">
                  <c:v>Saturday</c:v>
                </c:pt>
                <c:pt idx="2">
                  <c:v>Wednesday</c:v>
                </c:pt>
                <c:pt idx="3">
                  <c:v>Sunday</c:v>
                </c:pt>
                <c:pt idx="4">
                  <c:v>Thursday</c:v>
                </c:pt>
                <c:pt idx="5">
                  <c:v>Monday</c:v>
                </c:pt>
                <c:pt idx="6">
                  <c:v>Friday</c:v>
                </c:pt>
              </c:strCache>
            </c:strRef>
          </c:cat>
          <c:val>
            <c:numRef>
              <c:f>Sheet9!$T$8:$T$15</c:f>
              <c:numCache>
                <c:formatCode>_-* #,##0[$৳-845]_-;\-* #,##0[$৳-845]_-;_-* "-"??[$৳-845]_-;_-@_-</c:formatCode>
                <c:ptCount val="7"/>
                <c:pt idx="0">
                  <c:v>500</c:v>
                </c:pt>
                <c:pt idx="1">
                  <c:v>550</c:v>
                </c:pt>
                <c:pt idx="2">
                  <c:v>600</c:v>
                </c:pt>
                <c:pt idx="3">
                  <c:v>650</c:v>
                </c:pt>
                <c:pt idx="4">
                  <c:v>700</c:v>
                </c:pt>
                <c:pt idx="5">
                  <c:v>750</c:v>
                </c:pt>
                <c:pt idx="6">
                  <c:v>800</c:v>
                </c:pt>
              </c:numCache>
            </c:numRef>
          </c:val>
          <c:extLst>
            <c:ext xmlns:c16="http://schemas.microsoft.com/office/drawing/2014/chart" uri="{C3380CC4-5D6E-409C-BE32-E72D297353CC}">
              <c16:uniqueId val="{00000002-1674-40ED-9312-478152311CB0}"/>
            </c:ext>
          </c:extLst>
        </c:ser>
        <c:dLbls>
          <c:dLblPos val="ctr"/>
          <c:showLegendKey val="0"/>
          <c:showVal val="1"/>
          <c:showCatName val="0"/>
          <c:showSerName val="0"/>
          <c:showPercent val="0"/>
          <c:showBubbleSize val="0"/>
        </c:dLbls>
        <c:gapWidth val="150"/>
        <c:overlap val="100"/>
        <c:axId val="1776811776"/>
        <c:axId val="1776813216"/>
      </c:barChart>
      <c:catAx>
        <c:axId val="17768117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76813216"/>
        <c:crosses val="autoZero"/>
        <c:auto val="1"/>
        <c:lblAlgn val="ctr"/>
        <c:lblOffset val="100"/>
        <c:noMultiLvlLbl val="0"/>
      </c:catAx>
      <c:valAx>
        <c:axId val="1776813216"/>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845]_-;\-* #,##0[$৳-845]_-;_-* &quot;-&quot;??[$৳-845]_-;_-@_-" sourceLinked="1"/>
        <c:majorTickMark val="none"/>
        <c:minorTickMark val="none"/>
        <c:tickLblPos val="nextTo"/>
        <c:crossAx val="17768117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Analysis.xlsx]sales!PivotTable1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3.0056933838044114E-2"/>
              <c:y val="5.1907626130067074E-2"/>
            </c:manualLayout>
          </c:layout>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1988815468418204E-2"/>
              <c:y val="-3.5131233595800525E-2"/>
            </c:manualLayout>
          </c:layout>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3601340033500838E-2"/>
              <c:y val="4.3853893263342083E-4"/>
            </c:manualLayout>
          </c:layout>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5.3042992741485204E-2"/>
                  <c:h val="9.375E-2"/>
                </c:manualLayout>
              </c15:layout>
            </c:ext>
          </c:extLst>
        </c:dLbl>
      </c:pivotFmt>
      <c:pivotFmt>
        <c:idx val="11"/>
        <c:spPr>
          <a:solidFill>
            <a:schemeClr val="accent1"/>
          </a:solidFill>
          <a:ln w="19050">
            <a:solidFill>
              <a:schemeClr val="lt1"/>
            </a:solidFill>
          </a:ln>
          <a:effectLst/>
        </c:spPr>
        <c:dLbl>
          <c:idx val="0"/>
          <c:layout>
            <c:manualLayout>
              <c:x val="-4.5930263742157876E-2"/>
              <c:y val="-1.3210484106153398E-2"/>
            </c:manualLayout>
          </c:layout>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1.9656022896635407E-2"/>
              <c:y val="-1.8989501312335958E-2"/>
            </c:manualLayout>
          </c:layout>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sales!$I$25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FA-41E6-9483-A43356D637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FA-41E6-9483-A43356D637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FA-41E6-9483-A43356D637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FA-41E6-9483-A43356D6373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CFA-41E6-9483-A43356D6373C}"/>
              </c:ext>
            </c:extLst>
          </c:dPt>
          <c:dLbls>
            <c:dLbl>
              <c:idx val="0"/>
              <c:layout>
                <c:manualLayout>
                  <c:x val="3.0056933838044114E-2"/>
                  <c:y val="5.190762613006707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FA-41E6-9483-A43356D6373C}"/>
                </c:ext>
              </c:extLst>
            </c:dLbl>
            <c:dLbl>
              <c:idx val="1"/>
              <c:layout>
                <c:manualLayout>
                  <c:x val="3.1988815468418204E-2"/>
                  <c:y val="-3.513123359580052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FA-41E6-9483-A43356D6373C}"/>
                </c:ext>
              </c:extLst>
            </c:dLbl>
            <c:dLbl>
              <c:idx val="2"/>
              <c:layout>
                <c:manualLayout>
                  <c:x val="-5.3601340033500838E-2"/>
                  <c:y val="4.3853893263342083E-4"/>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5.3042992741485204E-2"/>
                      <c:h val="9.375E-2"/>
                    </c:manualLayout>
                  </c15:layout>
                </c:ext>
                <c:ext xmlns:c16="http://schemas.microsoft.com/office/drawing/2014/chart" uri="{C3380CC4-5D6E-409C-BE32-E72D297353CC}">
                  <c16:uniqueId val="{00000005-2CFA-41E6-9483-A43356D6373C}"/>
                </c:ext>
              </c:extLst>
            </c:dLbl>
            <c:dLbl>
              <c:idx val="3"/>
              <c:layout>
                <c:manualLayout>
                  <c:x val="-4.5930263742157876E-2"/>
                  <c:y val="-1.321048410615339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CFA-41E6-9483-A43356D6373C}"/>
                </c:ext>
              </c:extLst>
            </c:dLbl>
            <c:dLbl>
              <c:idx val="4"/>
              <c:layout>
                <c:manualLayout>
                  <c:x val="-1.9656022896635407E-2"/>
                  <c:y val="-1.898950131233595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CFA-41E6-9483-A43356D6373C}"/>
                </c:ext>
              </c:extLst>
            </c:dLbl>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sales!$H$26:$H$31</c:f>
              <c:strCache>
                <c:ptCount val="5"/>
                <c:pt idx="0">
                  <c:v>Sofa Set</c:v>
                </c:pt>
                <c:pt idx="1">
                  <c:v>Smartphone</c:v>
                </c:pt>
                <c:pt idx="2">
                  <c:v>Office Chair</c:v>
                </c:pt>
                <c:pt idx="3">
                  <c:v>Bed</c:v>
                </c:pt>
                <c:pt idx="4">
                  <c:v>Headphones</c:v>
                </c:pt>
              </c:strCache>
            </c:strRef>
          </c:cat>
          <c:val>
            <c:numRef>
              <c:f>sales!$I$26:$I$31</c:f>
              <c:numCache>
                <c:formatCode>General</c:formatCode>
                <c:ptCount val="5"/>
                <c:pt idx="0">
                  <c:v>7</c:v>
                </c:pt>
                <c:pt idx="1">
                  <c:v>6</c:v>
                </c:pt>
                <c:pt idx="2">
                  <c:v>6</c:v>
                </c:pt>
                <c:pt idx="3">
                  <c:v>5</c:v>
                </c:pt>
                <c:pt idx="4">
                  <c:v>5</c:v>
                </c:pt>
              </c:numCache>
            </c:numRef>
          </c:val>
          <c:extLst>
            <c:ext xmlns:c16="http://schemas.microsoft.com/office/drawing/2014/chart" uri="{C3380CC4-5D6E-409C-BE32-E72D297353CC}">
              <c16:uniqueId val="{0000000A-2CFA-41E6-9483-A43356D6373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Analysis.xlsx]sales!PivotTable6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sales!$M$15</c:f>
              <c:strCache>
                <c:ptCount val="1"/>
                <c:pt idx="0">
                  <c:v>Sum of quanatity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sales!$L$16:$L$20</c:f>
              <c:strCache>
                <c:ptCount val="4"/>
                <c:pt idx="0">
                  <c:v>Jan</c:v>
                </c:pt>
                <c:pt idx="1">
                  <c:v>Feb</c:v>
                </c:pt>
                <c:pt idx="2">
                  <c:v>Mar</c:v>
                </c:pt>
                <c:pt idx="3">
                  <c:v>Apr</c:v>
                </c:pt>
              </c:strCache>
            </c:strRef>
          </c:cat>
          <c:val>
            <c:numRef>
              <c:f>sales!$M$16:$M$20</c:f>
              <c:numCache>
                <c:formatCode>General</c:formatCode>
                <c:ptCount val="4"/>
                <c:pt idx="0">
                  <c:v>15</c:v>
                </c:pt>
                <c:pt idx="1">
                  <c:v>13</c:v>
                </c:pt>
                <c:pt idx="2">
                  <c:v>11</c:v>
                </c:pt>
                <c:pt idx="3">
                  <c:v>7</c:v>
                </c:pt>
              </c:numCache>
            </c:numRef>
          </c:val>
          <c:extLst>
            <c:ext xmlns:c16="http://schemas.microsoft.com/office/drawing/2014/chart" uri="{C3380CC4-5D6E-409C-BE32-E72D297353CC}">
              <c16:uniqueId val="{00000000-3EA9-4CAE-A279-914CBEF0CD6D}"/>
            </c:ext>
          </c:extLst>
        </c:ser>
        <c:ser>
          <c:idx val="1"/>
          <c:order val="1"/>
          <c:tx>
            <c:strRef>
              <c:f>sales!$N$15</c:f>
              <c:strCache>
                <c:ptCount val="1"/>
                <c:pt idx="0">
                  <c:v>Sum of 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sales!$L$16:$L$20</c:f>
              <c:strCache>
                <c:ptCount val="4"/>
                <c:pt idx="0">
                  <c:v>Jan</c:v>
                </c:pt>
                <c:pt idx="1">
                  <c:v>Feb</c:v>
                </c:pt>
                <c:pt idx="2">
                  <c:v>Mar</c:v>
                </c:pt>
                <c:pt idx="3">
                  <c:v>Apr</c:v>
                </c:pt>
              </c:strCache>
            </c:strRef>
          </c:cat>
          <c:val>
            <c:numRef>
              <c:f>sales!$N$16:$N$20</c:f>
              <c:numCache>
                <c:formatCode>General</c:formatCode>
                <c:ptCount val="4"/>
                <c:pt idx="0">
                  <c:v>167500</c:v>
                </c:pt>
                <c:pt idx="1">
                  <c:v>247000</c:v>
                </c:pt>
                <c:pt idx="2">
                  <c:v>47500</c:v>
                </c:pt>
                <c:pt idx="3">
                  <c:v>127000</c:v>
                </c:pt>
              </c:numCache>
            </c:numRef>
          </c:val>
          <c:extLst>
            <c:ext xmlns:c16="http://schemas.microsoft.com/office/drawing/2014/chart" uri="{C3380CC4-5D6E-409C-BE32-E72D297353CC}">
              <c16:uniqueId val="{00000001-3EA9-4CAE-A279-914CBEF0CD6D}"/>
            </c:ext>
          </c:extLst>
        </c:ser>
        <c:dLbls>
          <c:dLblPos val="outEnd"/>
          <c:showLegendKey val="0"/>
          <c:showVal val="1"/>
          <c:showCatName val="0"/>
          <c:showSerName val="0"/>
          <c:showPercent val="0"/>
          <c:showBubbleSize val="0"/>
        </c:dLbls>
        <c:gapWidth val="219"/>
        <c:overlap val="-27"/>
        <c:axId val="903557072"/>
        <c:axId val="903570512"/>
      </c:barChart>
      <c:catAx>
        <c:axId val="903557072"/>
        <c:scaling>
          <c:orientation val="minMax"/>
        </c:scaling>
        <c:delete val="1"/>
        <c:axPos val="b"/>
        <c:numFmt formatCode="General" sourceLinked="1"/>
        <c:majorTickMark val="none"/>
        <c:minorTickMark val="none"/>
        <c:tickLblPos val="nextTo"/>
        <c:crossAx val="903570512"/>
        <c:crosses val="autoZero"/>
        <c:auto val="1"/>
        <c:lblAlgn val="ctr"/>
        <c:lblOffset val="100"/>
        <c:noMultiLvlLbl val="0"/>
      </c:catAx>
      <c:valAx>
        <c:axId val="903570512"/>
        <c:scaling>
          <c:orientation val="minMax"/>
        </c:scaling>
        <c:delete val="1"/>
        <c:axPos val="l"/>
        <c:numFmt formatCode="General" sourceLinked="1"/>
        <c:majorTickMark val="none"/>
        <c:minorTickMark val="none"/>
        <c:tickLblPos val="nextTo"/>
        <c:crossAx val="90355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Analysis.xlsx]sales!PivotTable3</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sales!$D$23</c:f>
              <c:strCache>
                <c:ptCount val="1"/>
                <c:pt idx="0">
                  <c:v>Total</c:v>
                </c:pt>
              </c:strCache>
            </c:strRef>
          </c:tx>
          <c:spPr>
            <a:solidFill>
              <a:schemeClr val="tx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sales!$C$24:$C$29</c:f>
              <c:strCache>
                <c:ptCount val="5"/>
                <c:pt idx="0">
                  <c:v>Rahim</c:v>
                </c:pt>
                <c:pt idx="1">
                  <c:v>Nayeem</c:v>
                </c:pt>
                <c:pt idx="2">
                  <c:v>Sumon</c:v>
                </c:pt>
                <c:pt idx="3">
                  <c:v>David</c:v>
                </c:pt>
                <c:pt idx="4">
                  <c:v>Daniel</c:v>
                </c:pt>
              </c:strCache>
            </c:strRef>
          </c:cat>
          <c:val>
            <c:numRef>
              <c:f>sales!$D$24:$D$29</c:f>
              <c:numCache>
                <c:formatCode>General</c:formatCode>
                <c:ptCount val="5"/>
                <c:pt idx="0">
                  <c:v>78500</c:v>
                </c:pt>
                <c:pt idx="1">
                  <c:v>75000</c:v>
                </c:pt>
                <c:pt idx="2">
                  <c:v>65000</c:v>
                </c:pt>
                <c:pt idx="3">
                  <c:v>65000</c:v>
                </c:pt>
                <c:pt idx="4">
                  <c:v>55000</c:v>
                </c:pt>
              </c:numCache>
            </c:numRef>
          </c:val>
          <c:extLst>
            <c:ext xmlns:c16="http://schemas.microsoft.com/office/drawing/2014/chart" uri="{C3380CC4-5D6E-409C-BE32-E72D297353CC}">
              <c16:uniqueId val="{00000000-EFFB-4470-A55A-B5292149E69E}"/>
            </c:ext>
          </c:extLst>
        </c:ser>
        <c:dLbls>
          <c:showLegendKey val="0"/>
          <c:showVal val="1"/>
          <c:showCatName val="0"/>
          <c:showSerName val="0"/>
          <c:showPercent val="0"/>
          <c:showBubbleSize val="0"/>
        </c:dLbls>
        <c:gapWidth val="150"/>
        <c:shape val="box"/>
        <c:axId val="903582032"/>
        <c:axId val="903568592"/>
        <c:axId val="0"/>
      </c:bar3DChart>
      <c:catAx>
        <c:axId val="903582032"/>
        <c:scaling>
          <c:orientation val="minMax"/>
        </c:scaling>
        <c:delete val="1"/>
        <c:axPos val="l"/>
        <c:numFmt formatCode="General" sourceLinked="1"/>
        <c:majorTickMark val="none"/>
        <c:minorTickMark val="none"/>
        <c:tickLblPos val="nextTo"/>
        <c:crossAx val="903568592"/>
        <c:crosses val="autoZero"/>
        <c:auto val="1"/>
        <c:lblAlgn val="ctr"/>
        <c:lblOffset val="100"/>
        <c:noMultiLvlLbl val="0"/>
      </c:catAx>
      <c:valAx>
        <c:axId val="903568592"/>
        <c:scaling>
          <c:orientation val="minMax"/>
        </c:scaling>
        <c:delete val="1"/>
        <c:axPos val="b"/>
        <c:numFmt formatCode="General" sourceLinked="1"/>
        <c:majorTickMark val="none"/>
        <c:minorTickMark val="none"/>
        <c:tickLblPos val="nextTo"/>
        <c:crossAx val="90358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Analysis.xlsx]sales!PivotTable5</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tx1"/>
            </a:solidFill>
            <a:round/>
          </a:ln>
          <a:effectLst/>
        </c:spPr>
        <c:marker>
          <c:symbol val="none"/>
        </c:marker>
      </c:pivotFmt>
      <c:pivotFmt>
        <c:idx val="4"/>
        <c:spPr>
          <a:ln w="28575" cap="rnd">
            <a:solidFill>
              <a:schemeClr val="tx1"/>
            </a:solidFill>
            <a:round/>
          </a:ln>
          <a:effectLst/>
        </c:spPr>
        <c:marker>
          <c:symbol val="none"/>
        </c:marker>
      </c:pivotFmt>
      <c:pivotFmt>
        <c:idx val="5"/>
        <c:spPr>
          <a:ln w="28575" cap="rnd">
            <a:solidFill>
              <a:schemeClr val="tx1"/>
            </a:solidFill>
            <a:round/>
          </a:ln>
          <a:effectLst/>
        </c:spPr>
        <c:marker>
          <c:symbol val="none"/>
        </c:marker>
      </c:pivotFmt>
      <c:pivotFmt>
        <c:idx val="6"/>
        <c:spPr>
          <a:ln w="28575" cap="rnd">
            <a:solidFill>
              <a:schemeClr val="tx1"/>
            </a:solidFill>
            <a:round/>
          </a:ln>
          <a:effectLst/>
        </c:spPr>
        <c:marker>
          <c:symbol val="none"/>
        </c:marker>
      </c:pivotFmt>
    </c:pivotFmts>
    <c:plotArea>
      <c:layout/>
      <c:lineChart>
        <c:grouping val="standard"/>
        <c:varyColors val="0"/>
        <c:ser>
          <c:idx val="0"/>
          <c:order val="0"/>
          <c:tx>
            <c:strRef>
              <c:f>sales!$J$15</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tx1"/>
                </a:solidFill>
                <a:round/>
              </a:ln>
              <a:effectLst/>
            </c:spPr>
            <c:extLst>
              <c:ext xmlns:c16="http://schemas.microsoft.com/office/drawing/2014/chart" uri="{C3380CC4-5D6E-409C-BE32-E72D297353CC}">
                <c16:uniqueId val="{00000001-6358-4E7B-9967-096E342B5BF6}"/>
              </c:ext>
            </c:extLst>
          </c:dPt>
          <c:dPt>
            <c:idx val="2"/>
            <c:marker>
              <c:symbol val="none"/>
            </c:marker>
            <c:bubble3D val="0"/>
            <c:spPr>
              <a:ln w="28575" cap="rnd">
                <a:solidFill>
                  <a:schemeClr val="tx1"/>
                </a:solidFill>
                <a:round/>
              </a:ln>
              <a:effectLst/>
            </c:spPr>
            <c:extLst>
              <c:ext xmlns:c16="http://schemas.microsoft.com/office/drawing/2014/chart" uri="{C3380CC4-5D6E-409C-BE32-E72D297353CC}">
                <c16:uniqueId val="{00000002-6358-4E7B-9967-096E342B5BF6}"/>
              </c:ext>
            </c:extLst>
          </c:dPt>
          <c:dPt>
            <c:idx val="3"/>
            <c:marker>
              <c:symbol val="none"/>
            </c:marker>
            <c:bubble3D val="0"/>
            <c:spPr>
              <a:ln w="28575" cap="rnd">
                <a:solidFill>
                  <a:schemeClr val="tx1"/>
                </a:solidFill>
                <a:round/>
              </a:ln>
              <a:effectLst/>
            </c:spPr>
            <c:extLst>
              <c:ext xmlns:c16="http://schemas.microsoft.com/office/drawing/2014/chart" uri="{C3380CC4-5D6E-409C-BE32-E72D297353CC}">
                <c16:uniqueId val="{00000003-6358-4E7B-9967-096E342B5BF6}"/>
              </c:ext>
            </c:extLst>
          </c:dPt>
          <c:dPt>
            <c:idx val="4"/>
            <c:marker>
              <c:symbol val="none"/>
            </c:marker>
            <c:bubble3D val="0"/>
            <c:spPr>
              <a:ln w="28575" cap="rnd">
                <a:solidFill>
                  <a:schemeClr val="tx1"/>
                </a:solidFill>
                <a:round/>
              </a:ln>
              <a:effectLst/>
            </c:spPr>
            <c:extLst>
              <c:ext xmlns:c16="http://schemas.microsoft.com/office/drawing/2014/chart" uri="{C3380CC4-5D6E-409C-BE32-E72D297353CC}">
                <c16:uniqueId val="{00000004-6358-4E7B-9967-096E342B5BF6}"/>
              </c:ext>
            </c:extLst>
          </c:dPt>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sales!$I$16:$I$21</c:f>
              <c:strCache>
                <c:ptCount val="5"/>
                <c:pt idx="0">
                  <c:v>Bangladesh</c:v>
                </c:pt>
                <c:pt idx="1">
                  <c:v>Canada</c:v>
                </c:pt>
                <c:pt idx="2">
                  <c:v>India</c:v>
                </c:pt>
                <c:pt idx="3">
                  <c:v>UK</c:v>
                </c:pt>
                <c:pt idx="4">
                  <c:v>USA</c:v>
                </c:pt>
              </c:strCache>
            </c:strRef>
          </c:cat>
          <c:val>
            <c:numRef>
              <c:f>sales!$J$16:$J$21</c:f>
              <c:numCache>
                <c:formatCode>General</c:formatCode>
                <c:ptCount val="5"/>
                <c:pt idx="0">
                  <c:v>414500</c:v>
                </c:pt>
                <c:pt idx="1">
                  <c:v>7000</c:v>
                </c:pt>
                <c:pt idx="2">
                  <c:v>23500</c:v>
                </c:pt>
                <c:pt idx="3">
                  <c:v>120000</c:v>
                </c:pt>
                <c:pt idx="4">
                  <c:v>24000</c:v>
                </c:pt>
              </c:numCache>
            </c:numRef>
          </c:val>
          <c:smooth val="0"/>
          <c:extLst>
            <c:ext xmlns:c16="http://schemas.microsoft.com/office/drawing/2014/chart" uri="{C3380CC4-5D6E-409C-BE32-E72D297353CC}">
              <c16:uniqueId val="{00000000-6358-4E7B-9967-096E342B5BF6}"/>
            </c:ext>
          </c:extLst>
        </c:ser>
        <c:dLbls>
          <c:dLblPos val="t"/>
          <c:showLegendKey val="0"/>
          <c:showVal val="1"/>
          <c:showCatName val="0"/>
          <c:showSerName val="0"/>
          <c:showPercent val="0"/>
          <c:showBubbleSize val="0"/>
        </c:dLbls>
        <c:smooth val="0"/>
        <c:axId val="903534992"/>
        <c:axId val="903581072"/>
      </c:lineChart>
      <c:catAx>
        <c:axId val="903534992"/>
        <c:scaling>
          <c:orientation val="minMax"/>
        </c:scaling>
        <c:delete val="1"/>
        <c:axPos val="b"/>
        <c:numFmt formatCode="General" sourceLinked="1"/>
        <c:majorTickMark val="none"/>
        <c:minorTickMark val="none"/>
        <c:tickLblPos val="nextTo"/>
        <c:crossAx val="903581072"/>
        <c:crosses val="autoZero"/>
        <c:auto val="1"/>
        <c:lblAlgn val="ctr"/>
        <c:lblOffset val="100"/>
        <c:noMultiLvlLbl val="0"/>
      </c:catAx>
      <c:valAx>
        <c:axId val="903581072"/>
        <c:scaling>
          <c:orientation val="minMax"/>
        </c:scaling>
        <c:delete val="1"/>
        <c:axPos val="l"/>
        <c:numFmt formatCode="General" sourceLinked="1"/>
        <c:majorTickMark val="none"/>
        <c:minorTickMark val="none"/>
        <c:tickLblPos val="nextTo"/>
        <c:crossAx val="90353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solidFill>
            <a:round/>
          </a:ln>
          <a:effectLst/>
        </c:spPr>
        <c:marker>
          <c:symbol val="none"/>
        </c:marker>
        <c:dLbl>
          <c:idx val="0"/>
          <c:numFmt formatCode="_(&quot;$&quot;* #,##0_);_(&quot;$&quot;* \(#,##0\);_(&quot;$&quot;* &quot;-&quot;_);_(@_)" sourceLinked="0"/>
          <c:spPr>
            <a:solidFill>
              <a:schemeClr val="accent2"/>
            </a:solidFill>
            <a:ln>
              <a:noFill/>
            </a:ln>
            <a:effectLst>
              <a:outerShdw blurRad="50800" dist="38100" dir="2700000" algn="tl" rotWithShape="0">
                <a:schemeClr val="accent1">
                  <a:alpha val="40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2.2644871004027723E-2"/>
          <c:y val="0.1504996571998421"/>
          <c:w val="0.95355467663316285"/>
          <c:h val="0.65514470321816631"/>
        </c:manualLayout>
      </c:layout>
      <c:lineChart>
        <c:grouping val="standard"/>
        <c:varyColors val="0"/>
        <c:ser>
          <c:idx val="0"/>
          <c:order val="0"/>
          <c:tx>
            <c:v>Total</c:v>
          </c:tx>
          <c:spPr>
            <a:ln w="28575" cap="rnd">
              <a:solidFill>
                <a:schemeClr val="tx1"/>
              </a:solidFill>
              <a:round/>
            </a:ln>
            <a:effectLst/>
          </c:spPr>
          <c:marker>
            <c:symbol val="none"/>
          </c:marker>
          <c:dLbls>
            <c:numFmt formatCode="_(&quot;$&quot;* #,##0_);_(&quot;$&quot;* \(#,##0\);_(&quot;$&quot;* &quot;-&quot;_);_(@_)" sourceLinked="0"/>
            <c:spPr>
              <a:solidFill>
                <a:schemeClr val="accent2"/>
              </a:solidFill>
              <a:ln>
                <a:noFill/>
              </a:ln>
              <a:effectLst>
                <a:outerShdw blurRad="50800" dist="38100" dir="2700000" algn="tl" rotWithShape="0">
                  <a:schemeClr val="accent1">
                    <a:alpha val="40000"/>
                  </a:scheme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0"/>
              <c:pt idx="0">
                <c:v>1/2/2025</c:v>
              </c:pt>
              <c:pt idx="1">
                <c:v>1/3/2025</c:v>
              </c:pt>
              <c:pt idx="2">
                <c:v>1/4/2025</c:v>
              </c:pt>
              <c:pt idx="3">
                <c:v>1/5/2025</c:v>
              </c:pt>
              <c:pt idx="4">
                <c:v>1/6/2025</c:v>
              </c:pt>
              <c:pt idx="5">
                <c:v>1/7/2025</c:v>
              </c:pt>
              <c:pt idx="6">
                <c:v>1/8/2025</c:v>
              </c:pt>
              <c:pt idx="7">
                <c:v>1/9/2025</c:v>
              </c:pt>
              <c:pt idx="8">
                <c:v>1/10/2025</c:v>
              </c:pt>
              <c:pt idx="9">
                <c:v>1/11/2025</c:v>
              </c:pt>
              <c:pt idx="10">
                <c:v>1/12/2025</c:v>
              </c:pt>
              <c:pt idx="11">
                <c:v>1/13/2025</c:v>
              </c:pt>
              <c:pt idx="12">
                <c:v>1/14/2025</c:v>
              </c:pt>
              <c:pt idx="13">
                <c:v>1/15/2025</c:v>
              </c:pt>
              <c:pt idx="14">
                <c:v>1/16/2025</c:v>
              </c:pt>
              <c:pt idx="15">
                <c:v>1/17/2025</c:v>
              </c:pt>
              <c:pt idx="16">
                <c:v>1/18/2025</c:v>
              </c:pt>
              <c:pt idx="17">
                <c:v>1/19/2025</c:v>
              </c:pt>
              <c:pt idx="18">
                <c:v>1/20/2025</c:v>
              </c:pt>
              <c:pt idx="19">
                <c:v>1/21/2025</c:v>
              </c:pt>
            </c:strLit>
          </c:cat>
          <c:val>
            <c:numLit>
              <c:formatCode>General</c:formatCode>
              <c:ptCount val="20"/>
              <c:pt idx="0">
                <c:v>15000</c:v>
              </c:pt>
              <c:pt idx="1">
                <c:v>22000</c:v>
              </c:pt>
              <c:pt idx="2">
                <c:v>18000</c:v>
              </c:pt>
              <c:pt idx="3">
                <c:v>9500</c:v>
              </c:pt>
              <c:pt idx="4">
                <c:v>30500</c:v>
              </c:pt>
              <c:pt idx="5">
                <c:v>12000</c:v>
              </c:pt>
              <c:pt idx="6">
                <c:v>45000</c:v>
              </c:pt>
              <c:pt idx="7">
                <c:v>8700</c:v>
              </c:pt>
              <c:pt idx="8">
                <c:v>26000</c:v>
              </c:pt>
              <c:pt idx="9">
                <c:v>33000</c:v>
              </c:pt>
              <c:pt idx="10">
                <c:v>14000</c:v>
              </c:pt>
              <c:pt idx="11">
                <c:v>5000</c:v>
              </c:pt>
              <c:pt idx="12">
                <c:v>29000</c:v>
              </c:pt>
              <c:pt idx="13">
                <c:v>17500</c:v>
              </c:pt>
              <c:pt idx="14">
                <c:v>41000</c:v>
              </c:pt>
              <c:pt idx="15">
                <c:v>9800</c:v>
              </c:pt>
              <c:pt idx="16">
                <c:v>21500</c:v>
              </c:pt>
              <c:pt idx="17">
                <c:v>36000</c:v>
              </c:pt>
              <c:pt idx="18">
                <c:v>12500</c:v>
              </c:pt>
              <c:pt idx="19">
                <c:v>48000</c:v>
              </c:pt>
            </c:numLit>
          </c:val>
          <c:smooth val="0"/>
          <c:extLst>
            <c:ext xmlns:c16="http://schemas.microsoft.com/office/drawing/2014/chart" uri="{C3380CC4-5D6E-409C-BE32-E72D297353CC}">
              <c16:uniqueId val="{00000000-0A01-4907-8D17-8CAE0156FA03}"/>
            </c:ext>
          </c:extLst>
        </c:ser>
        <c:dLbls>
          <c:dLblPos val="t"/>
          <c:showLegendKey val="0"/>
          <c:showVal val="1"/>
          <c:showCatName val="0"/>
          <c:showSerName val="0"/>
          <c:showPercent val="0"/>
          <c:showBubbleSize val="0"/>
        </c:dLbls>
        <c:smooth val="0"/>
        <c:axId val="813349584"/>
        <c:axId val="813335184"/>
      </c:lineChart>
      <c:catAx>
        <c:axId val="81334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335184"/>
        <c:crosses val="autoZero"/>
        <c:auto val="1"/>
        <c:lblAlgn val="ctr"/>
        <c:lblOffset val="100"/>
        <c:noMultiLvlLbl val="0"/>
      </c:catAx>
      <c:valAx>
        <c:axId val="813335184"/>
        <c:scaling>
          <c:orientation val="minMax"/>
        </c:scaling>
        <c:delete val="1"/>
        <c:axPos val="l"/>
        <c:numFmt formatCode="General" sourceLinked="1"/>
        <c:majorTickMark val="out"/>
        <c:minorTickMark val="none"/>
        <c:tickLblPos val="nextTo"/>
        <c:crossAx val="81334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solidFill>
      <a:round/>
    </a:ln>
    <a:effectLst>
      <a:outerShdw blurRad="50800" dist="50800" dir="5400000" algn="ctr" rotWithShape="0">
        <a:schemeClr val="accent1">
          <a:lumMod val="20000"/>
          <a:lumOff val="80000"/>
        </a:schemeClr>
      </a:outerShdw>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w="19050">
            <a:noFill/>
          </a:ln>
          <a:effectLst>
            <a:outerShdw blurRad="50800" dist="50800" dir="5400000" algn="ctr" rotWithShape="0">
              <a:schemeClr val="tx2">
                <a:lumMod val="40000"/>
                <a:lumOff val="60000"/>
              </a:schemeClr>
            </a:outerShdw>
          </a:effectLst>
        </c:spPr>
        <c:dLbl>
          <c:idx val="0"/>
          <c:layout>
            <c:manualLayout>
              <c:x val="7.0083223828296098E-2"/>
              <c:y val="0"/>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dLbl>
          <c:idx val="0"/>
          <c:layout>
            <c:manualLayout>
              <c:x val="-8.9356110381077533E-2"/>
              <c:y val="-6.0958010133163058E-17"/>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pivotFmt>
    </c:pivotFmts>
    <c:plotArea>
      <c:layout/>
      <c:doughnutChart>
        <c:varyColors val="1"/>
        <c:ser>
          <c:idx val="0"/>
          <c:order val="0"/>
          <c:tx>
            <c:v>Series1</c:v>
          </c:tx>
          <c:spPr>
            <a:ln>
              <a:noFill/>
            </a:ln>
          </c:spPr>
          <c:dPt>
            <c:idx val="0"/>
            <c:bubble3D val="0"/>
            <c:spPr>
              <a:solidFill>
                <a:schemeClr val="tx1"/>
              </a:solidFill>
              <a:ln w="19050">
                <a:noFill/>
              </a:ln>
              <a:effectLst>
                <a:outerShdw blurRad="50800" dist="50800" dir="5400000" algn="ctr" rotWithShape="0">
                  <a:schemeClr val="tx2">
                    <a:lumMod val="40000"/>
                    <a:lumOff val="60000"/>
                  </a:schemeClr>
                </a:outerShdw>
              </a:effectLst>
            </c:spPr>
            <c:extLst>
              <c:ext xmlns:c16="http://schemas.microsoft.com/office/drawing/2014/chart" uri="{C3380CC4-5D6E-409C-BE32-E72D297353CC}">
                <c16:uniqueId val="{00000001-F584-4143-AC06-AB4CC45A1221}"/>
              </c:ext>
            </c:extLst>
          </c:dPt>
          <c:dPt>
            <c:idx val="1"/>
            <c:bubble3D val="0"/>
            <c:spPr>
              <a:solidFill>
                <a:schemeClr val="accent2"/>
              </a:solidFill>
              <a:ln w="19050">
                <a:noFill/>
              </a:ln>
              <a:effectLst/>
            </c:spPr>
            <c:extLst>
              <c:ext xmlns:c16="http://schemas.microsoft.com/office/drawing/2014/chart" uri="{C3380CC4-5D6E-409C-BE32-E72D297353CC}">
                <c16:uniqueId val="{00000003-F584-4143-AC06-AB4CC45A1221}"/>
              </c:ext>
            </c:extLst>
          </c:dPt>
          <c:dPt>
            <c:idx val="2"/>
            <c:bubble3D val="0"/>
            <c:spPr>
              <a:solidFill>
                <a:schemeClr val="accent3"/>
              </a:solidFill>
              <a:ln w="19050">
                <a:noFill/>
              </a:ln>
              <a:effectLst/>
            </c:spPr>
            <c:extLst>
              <c:ext xmlns:c16="http://schemas.microsoft.com/office/drawing/2014/chart" uri="{C3380CC4-5D6E-409C-BE32-E72D297353CC}">
                <c16:uniqueId val="{00000005-F584-4143-AC06-AB4CC45A1221}"/>
              </c:ext>
            </c:extLst>
          </c:dPt>
          <c:dLbls>
            <c:dLbl>
              <c:idx val="0"/>
              <c:layout>
                <c:manualLayout>
                  <c:x val="7.0083223828296098E-2"/>
                  <c:y val="0"/>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584-4143-AC06-AB4CC45A1221}"/>
                </c:ext>
              </c:extLst>
            </c:dLbl>
            <c:dLbl>
              <c:idx val="1"/>
              <c:layout>
                <c:manualLayout>
                  <c:x val="-8.9356110381077533E-2"/>
                  <c:y val="-6.0958010133163058E-17"/>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84-4143-AC06-AB4CC45A1221}"/>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DEPOSIT</c:v>
              </c:pt>
              <c:pt idx="1">
                <c:v>WITHDRAW</c:v>
              </c:pt>
              <c:pt idx="2">
                <c:v>(blank)</c:v>
              </c:pt>
            </c:strLit>
          </c:cat>
          <c:val>
            <c:numLit>
              <c:formatCode>General</c:formatCode>
              <c:ptCount val="3"/>
              <c:pt idx="0">
                <c:v>252500</c:v>
              </c:pt>
              <c:pt idx="1">
                <c:v>201500</c:v>
              </c:pt>
              <c:pt idx="2">
                <c:v>0</c:v>
              </c:pt>
            </c:numLit>
          </c:val>
          <c:extLst>
            <c:ext xmlns:c16="http://schemas.microsoft.com/office/drawing/2014/chart" uri="{C3380CC4-5D6E-409C-BE32-E72D297353CC}">
              <c16:uniqueId val="{00000006-F584-4143-AC06-AB4CC45A122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outerShdw blurRad="50800" dist="38100" dir="5400000" algn="t"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Series1</c:v>
          </c:tx>
          <c:spPr>
            <a:solidFill>
              <a:schemeClr val="tx1"/>
            </a:solidFill>
            <a:ln>
              <a:noFill/>
            </a:ln>
            <a:effectLst>
              <a:outerShdw blurRad="50800" dist="38100" dir="5400000" algn="t"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Lit>
          </c:cat>
          <c:val>
            <c:numLit>
              <c:formatCode>General</c:formatCode>
              <c:ptCount val="20"/>
              <c:pt idx="0">
                <c:v>5000</c:v>
              </c:pt>
              <c:pt idx="1">
                <c:v>3000</c:v>
              </c:pt>
              <c:pt idx="2">
                <c:v>7000</c:v>
              </c:pt>
              <c:pt idx="3">
                <c:v>2000</c:v>
              </c:pt>
              <c:pt idx="4">
                <c:v>10000</c:v>
              </c:pt>
              <c:pt idx="5">
                <c:v>1500</c:v>
              </c:pt>
              <c:pt idx="6">
                <c:v>12000</c:v>
              </c:pt>
              <c:pt idx="7">
                <c:v>2500</c:v>
              </c:pt>
              <c:pt idx="8">
                <c:v>8000</c:v>
              </c:pt>
              <c:pt idx="9">
                <c:v>4000</c:v>
              </c:pt>
              <c:pt idx="10">
                <c:v>6000</c:v>
              </c:pt>
              <c:pt idx="11">
                <c:v>1000</c:v>
              </c:pt>
              <c:pt idx="12">
                <c:v>9000</c:v>
              </c:pt>
              <c:pt idx="13">
                <c:v>3500</c:v>
              </c:pt>
              <c:pt idx="14">
                <c:v>11000</c:v>
              </c:pt>
              <c:pt idx="15">
                <c:v>1800</c:v>
              </c:pt>
              <c:pt idx="16">
                <c:v>7500</c:v>
              </c:pt>
              <c:pt idx="17">
                <c:v>4200</c:v>
              </c:pt>
              <c:pt idx="18">
                <c:v>6500</c:v>
              </c:pt>
              <c:pt idx="19">
                <c:v>5000</c:v>
              </c:pt>
            </c:numLit>
          </c:val>
          <c:extLst>
            <c:ext xmlns:c16="http://schemas.microsoft.com/office/drawing/2014/chart" uri="{C3380CC4-5D6E-409C-BE32-E72D297353CC}">
              <c16:uniqueId val="{00000000-2E8E-46DC-909E-31C6AA12FC66}"/>
            </c:ext>
          </c:extLst>
        </c:ser>
        <c:dLbls>
          <c:showLegendKey val="0"/>
          <c:showVal val="1"/>
          <c:showCatName val="0"/>
          <c:showSerName val="0"/>
          <c:showPercent val="0"/>
          <c:showBubbleSize val="0"/>
        </c:dLbls>
        <c:gapWidth val="150"/>
        <c:shape val="box"/>
        <c:axId val="813365904"/>
        <c:axId val="813374544"/>
        <c:axId val="0"/>
      </c:bar3DChart>
      <c:catAx>
        <c:axId val="8133659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374544"/>
        <c:crosses val="autoZero"/>
        <c:auto val="1"/>
        <c:lblAlgn val="ctr"/>
        <c:lblOffset val="100"/>
        <c:noMultiLvlLbl val="0"/>
      </c:catAx>
      <c:valAx>
        <c:axId val="813374544"/>
        <c:scaling>
          <c:orientation val="minMax"/>
        </c:scaling>
        <c:delete val="1"/>
        <c:axPos val="l"/>
        <c:numFmt formatCode="General" sourceLinked="1"/>
        <c:majorTickMark val="out"/>
        <c:minorTickMark val="none"/>
        <c:tickLblPos val="nextTo"/>
        <c:crossAx val="81336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glow rad="127000">
        <a:schemeClr val="bg2"/>
      </a:glow>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Analysis.xlsx]Sheet11!PivotTable1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80927384076995E-2"/>
          <c:y val="0.26791447944006996"/>
          <c:w val="0.77378937007874016"/>
          <c:h val="0.53774387576552929"/>
        </c:manualLayout>
      </c:layout>
      <c:barChart>
        <c:barDir val="col"/>
        <c:grouping val="clustered"/>
        <c:varyColors val="0"/>
        <c:ser>
          <c:idx val="0"/>
          <c:order val="0"/>
          <c:tx>
            <c:strRef>
              <c:f>Sheet11!$N$4</c:f>
              <c:strCache>
                <c:ptCount val="1"/>
                <c:pt idx="0">
                  <c:v>Total</c:v>
                </c:pt>
              </c:strCache>
            </c:strRef>
          </c:tx>
          <c:spPr>
            <a:solidFill>
              <a:schemeClr val="tx1">
                <a:lumMod val="95000"/>
                <a:lumOff val="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Sheet11!$M$5:$M$9</c:f>
              <c:strCache>
                <c:ptCount val="4"/>
                <c:pt idx="0">
                  <c:v>Fahim</c:v>
                </c:pt>
                <c:pt idx="1">
                  <c:v>Sabbir</c:v>
                </c:pt>
                <c:pt idx="2">
                  <c:v>Siam</c:v>
                </c:pt>
                <c:pt idx="3">
                  <c:v>(blank)</c:v>
                </c:pt>
              </c:strCache>
            </c:strRef>
          </c:cat>
          <c:val>
            <c:numRef>
              <c:f>Sheet11!$N$5:$N$9</c:f>
              <c:numCache>
                <c:formatCode>General</c:formatCode>
                <c:ptCount val="4"/>
                <c:pt idx="0">
                  <c:v>272</c:v>
                </c:pt>
                <c:pt idx="1">
                  <c:v>277</c:v>
                </c:pt>
                <c:pt idx="2">
                  <c:v>276</c:v>
                </c:pt>
              </c:numCache>
            </c:numRef>
          </c:val>
          <c:extLst>
            <c:ext xmlns:c16="http://schemas.microsoft.com/office/drawing/2014/chart" uri="{C3380CC4-5D6E-409C-BE32-E72D297353CC}">
              <c16:uniqueId val="{00000000-E142-4ACC-AB19-A4F60896E1C6}"/>
            </c:ext>
          </c:extLst>
        </c:ser>
        <c:dLbls>
          <c:showLegendKey val="0"/>
          <c:showVal val="0"/>
          <c:showCatName val="0"/>
          <c:showSerName val="0"/>
          <c:showPercent val="0"/>
          <c:showBubbleSize val="0"/>
        </c:dLbls>
        <c:gapWidth val="219"/>
        <c:overlap val="-27"/>
        <c:axId val="1940644319"/>
        <c:axId val="1940641919"/>
      </c:barChart>
      <c:catAx>
        <c:axId val="1940644319"/>
        <c:scaling>
          <c:orientation val="minMax"/>
        </c:scaling>
        <c:delete val="1"/>
        <c:axPos val="b"/>
        <c:numFmt formatCode="General" sourceLinked="1"/>
        <c:majorTickMark val="none"/>
        <c:minorTickMark val="none"/>
        <c:tickLblPos val="nextTo"/>
        <c:crossAx val="1940641919"/>
        <c:crosses val="autoZero"/>
        <c:auto val="1"/>
        <c:lblAlgn val="ctr"/>
        <c:lblOffset val="100"/>
        <c:noMultiLvlLbl val="0"/>
      </c:catAx>
      <c:valAx>
        <c:axId val="1940641919"/>
        <c:scaling>
          <c:orientation val="minMax"/>
        </c:scaling>
        <c:delete val="1"/>
        <c:axPos val="l"/>
        <c:numFmt formatCode="General" sourceLinked="1"/>
        <c:majorTickMark val="none"/>
        <c:minorTickMark val="none"/>
        <c:tickLblPos val="nextTo"/>
        <c:crossAx val="194064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Analysis.xlsx]Sheet11!PivotTable5</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1"/>
            </a:solidFill>
            <a:round/>
          </a:ln>
          <a:effectLst/>
        </c:spPr>
        <c:marker>
          <c:symbol val="circle"/>
          <c:size val="5"/>
          <c:spPr>
            <a:solidFill>
              <a:schemeClr val="tx1"/>
            </a:solidFill>
            <a:ln w="9525">
              <a:solidFill>
                <a:schemeClr val="accent2"/>
              </a:solidFill>
            </a:ln>
            <a:effectLst/>
          </c:spPr>
        </c:marker>
        <c:dLbl>
          <c:idx val="0"/>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Sheet11!$M$22</c:f>
              <c:strCache>
                <c:ptCount val="1"/>
                <c:pt idx="0">
                  <c:v>Sum of total_marks</c:v>
                </c:pt>
              </c:strCache>
            </c:strRef>
          </c:tx>
          <c:spPr>
            <a:ln w="28575" cap="rnd">
              <a:solidFill>
                <a:schemeClr val="tx1"/>
              </a:solidFill>
              <a:round/>
            </a:ln>
            <a:effectLst/>
          </c:spPr>
          <c:marker>
            <c:symbol val="circle"/>
            <c:size val="5"/>
            <c:spPr>
              <a:solidFill>
                <a:schemeClr val="tx1"/>
              </a:solidFill>
              <a:ln w="9525">
                <a:solidFill>
                  <a:schemeClr val="accent2"/>
                </a:solidFill>
              </a:ln>
              <a:effectLst/>
            </c:spPr>
          </c:marker>
          <c:dLbls>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Sheet11!$L$23:$L$40</c:f>
              <c:strCache>
                <c:ptCount val="17"/>
                <c:pt idx="0">
                  <c:v>Arif</c:v>
                </c:pt>
                <c:pt idx="1">
                  <c:v>Fahim</c:v>
                </c:pt>
                <c:pt idx="2">
                  <c:v>Foysal</c:v>
                </c:pt>
                <c:pt idx="3">
                  <c:v>Hasan</c:v>
                </c:pt>
                <c:pt idx="4">
                  <c:v>Imran</c:v>
                </c:pt>
                <c:pt idx="5">
                  <c:v>Mahmud</c:v>
                </c:pt>
                <c:pt idx="6">
                  <c:v>Nahid</c:v>
                </c:pt>
                <c:pt idx="7">
                  <c:v>Nayeem</c:v>
                </c:pt>
                <c:pt idx="8">
                  <c:v>Rafi</c:v>
                </c:pt>
                <c:pt idx="9">
                  <c:v>Rana</c:v>
                </c:pt>
                <c:pt idx="10">
                  <c:v>Sabbir</c:v>
                </c:pt>
                <c:pt idx="11">
                  <c:v>Saif</c:v>
                </c:pt>
                <c:pt idx="12">
                  <c:v>Shakib</c:v>
                </c:pt>
                <c:pt idx="13">
                  <c:v>Siam</c:v>
                </c:pt>
                <c:pt idx="14">
                  <c:v>Sumon</c:v>
                </c:pt>
                <c:pt idx="15">
                  <c:v>Tamim</c:v>
                </c:pt>
                <c:pt idx="16">
                  <c:v>(blank)</c:v>
                </c:pt>
              </c:strCache>
            </c:strRef>
          </c:cat>
          <c:val>
            <c:numRef>
              <c:f>Sheet11!$M$23:$M$40</c:f>
              <c:numCache>
                <c:formatCode>General</c:formatCode>
                <c:ptCount val="17"/>
                <c:pt idx="0">
                  <c:v>216</c:v>
                </c:pt>
                <c:pt idx="1">
                  <c:v>272</c:v>
                </c:pt>
                <c:pt idx="2">
                  <c:v>138</c:v>
                </c:pt>
                <c:pt idx="3">
                  <c:v>212</c:v>
                </c:pt>
                <c:pt idx="4">
                  <c:v>210</c:v>
                </c:pt>
                <c:pt idx="5">
                  <c:v>265</c:v>
                </c:pt>
                <c:pt idx="6">
                  <c:v>255</c:v>
                </c:pt>
                <c:pt idx="7">
                  <c:v>211</c:v>
                </c:pt>
                <c:pt idx="8">
                  <c:v>241</c:v>
                </c:pt>
                <c:pt idx="9">
                  <c:v>224</c:v>
                </c:pt>
                <c:pt idx="10">
                  <c:v>277</c:v>
                </c:pt>
                <c:pt idx="11">
                  <c:v>244</c:v>
                </c:pt>
                <c:pt idx="12">
                  <c:v>255</c:v>
                </c:pt>
                <c:pt idx="13">
                  <c:v>276</c:v>
                </c:pt>
                <c:pt idx="14">
                  <c:v>255</c:v>
                </c:pt>
                <c:pt idx="15">
                  <c:v>225</c:v>
                </c:pt>
              </c:numCache>
            </c:numRef>
          </c:val>
          <c:smooth val="0"/>
          <c:extLst>
            <c:ext xmlns:c16="http://schemas.microsoft.com/office/drawing/2014/chart" uri="{C3380CC4-5D6E-409C-BE32-E72D297353CC}">
              <c16:uniqueId val="{00000000-2028-46F9-9877-E32252C4458D}"/>
            </c:ext>
          </c:extLst>
        </c:ser>
        <c:ser>
          <c:idx val="1"/>
          <c:order val="1"/>
          <c:tx>
            <c:strRef>
              <c:f>Sheet11!$N$22</c:f>
              <c:strCache>
                <c:ptCount val="1"/>
                <c:pt idx="0">
                  <c:v>Sum of student_rank</c:v>
                </c:pt>
              </c:strCache>
            </c:strRef>
          </c:tx>
          <c:spPr>
            <a:ln w="28575" cap="rnd">
              <a:solidFill>
                <a:schemeClr val="accent2"/>
              </a:solidFill>
              <a:round/>
            </a:ln>
            <a:effectLst/>
          </c:spPr>
          <c:marker>
            <c:symbol val="circle"/>
            <c:size val="5"/>
            <c:spPr>
              <a:solidFill>
                <a:schemeClr val="accent2"/>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Sheet11!$L$23:$L$40</c:f>
              <c:strCache>
                <c:ptCount val="17"/>
                <c:pt idx="0">
                  <c:v>Arif</c:v>
                </c:pt>
                <c:pt idx="1">
                  <c:v>Fahim</c:v>
                </c:pt>
                <c:pt idx="2">
                  <c:v>Foysal</c:v>
                </c:pt>
                <c:pt idx="3">
                  <c:v>Hasan</c:v>
                </c:pt>
                <c:pt idx="4">
                  <c:v>Imran</c:v>
                </c:pt>
                <c:pt idx="5">
                  <c:v>Mahmud</c:v>
                </c:pt>
                <c:pt idx="6">
                  <c:v>Nahid</c:v>
                </c:pt>
                <c:pt idx="7">
                  <c:v>Nayeem</c:v>
                </c:pt>
                <c:pt idx="8">
                  <c:v>Rafi</c:v>
                </c:pt>
                <c:pt idx="9">
                  <c:v>Rana</c:v>
                </c:pt>
                <c:pt idx="10">
                  <c:v>Sabbir</c:v>
                </c:pt>
                <c:pt idx="11">
                  <c:v>Saif</c:v>
                </c:pt>
                <c:pt idx="12">
                  <c:v>Shakib</c:v>
                </c:pt>
                <c:pt idx="13">
                  <c:v>Siam</c:v>
                </c:pt>
                <c:pt idx="14">
                  <c:v>Sumon</c:v>
                </c:pt>
                <c:pt idx="15">
                  <c:v>Tamim</c:v>
                </c:pt>
                <c:pt idx="16">
                  <c:v>(blank)</c:v>
                </c:pt>
              </c:strCache>
            </c:strRef>
          </c:cat>
          <c:val>
            <c:numRef>
              <c:f>Sheet11!$N$23:$N$40</c:f>
              <c:numCache>
                <c:formatCode>General</c:formatCode>
                <c:ptCount val="17"/>
                <c:pt idx="0">
                  <c:v>12</c:v>
                </c:pt>
                <c:pt idx="1">
                  <c:v>3</c:v>
                </c:pt>
                <c:pt idx="2">
                  <c:v>16</c:v>
                </c:pt>
                <c:pt idx="3">
                  <c:v>13</c:v>
                </c:pt>
                <c:pt idx="4">
                  <c:v>15</c:v>
                </c:pt>
                <c:pt idx="5">
                  <c:v>4</c:v>
                </c:pt>
                <c:pt idx="6">
                  <c:v>5</c:v>
                </c:pt>
                <c:pt idx="7">
                  <c:v>14</c:v>
                </c:pt>
                <c:pt idx="8">
                  <c:v>9</c:v>
                </c:pt>
                <c:pt idx="9">
                  <c:v>11</c:v>
                </c:pt>
                <c:pt idx="10">
                  <c:v>1</c:v>
                </c:pt>
                <c:pt idx="11">
                  <c:v>8</c:v>
                </c:pt>
                <c:pt idx="12">
                  <c:v>5</c:v>
                </c:pt>
                <c:pt idx="13">
                  <c:v>2</c:v>
                </c:pt>
                <c:pt idx="14">
                  <c:v>5</c:v>
                </c:pt>
                <c:pt idx="15">
                  <c:v>10</c:v>
                </c:pt>
              </c:numCache>
            </c:numRef>
          </c:val>
          <c:smooth val="0"/>
          <c:extLst>
            <c:ext xmlns:c16="http://schemas.microsoft.com/office/drawing/2014/chart" uri="{C3380CC4-5D6E-409C-BE32-E72D297353CC}">
              <c16:uniqueId val="{00000001-2028-46F9-9877-E32252C4458D}"/>
            </c:ext>
          </c:extLst>
        </c:ser>
        <c:dLbls>
          <c:dLblPos val="t"/>
          <c:showLegendKey val="0"/>
          <c:showVal val="1"/>
          <c:showCatName val="0"/>
          <c:showSerName val="0"/>
          <c:showPercent val="0"/>
          <c:showBubbleSize val="0"/>
        </c:dLbls>
        <c:marker val="1"/>
        <c:smooth val="0"/>
        <c:axId val="1251246767"/>
        <c:axId val="1251247727"/>
      </c:lineChart>
      <c:catAx>
        <c:axId val="1251246767"/>
        <c:scaling>
          <c:orientation val="minMax"/>
        </c:scaling>
        <c:delete val="1"/>
        <c:axPos val="b"/>
        <c:numFmt formatCode="General" sourceLinked="1"/>
        <c:majorTickMark val="none"/>
        <c:minorTickMark val="none"/>
        <c:tickLblPos val="nextTo"/>
        <c:crossAx val="1251247727"/>
        <c:crosses val="autoZero"/>
        <c:auto val="1"/>
        <c:lblAlgn val="ctr"/>
        <c:lblOffset val="100"/>
        <c:noMultiLvlLbl val="0"/>
      </c:catAx>
      <c:valAx>
        <c:axId val="1251247727"/>
        <c:scaling>
          <c:orientation val="minMax"/>
        </c:scaling>
        <c:delete val="1"/>
        <c:axPos val="l"/>
        <c:numFmt formatCode="General" sourceLinked="1"/>
        <c:majorTickMark val="none"/>
        <c:minorTickMark val="none"/>
        <c:tickLblPos val="nextTo"/>
        <c:crossAx val="125124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Analysis.xlsx]Sheet11!PivotTable3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bg2">
              <a:lumMod val="2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25000"/>
            </a:schemeClr>
          </a:solidFill>
          <a:ln w="19050">
            <a:solidFill>
              <a:schemeClr val="lt1"/>
            </a:solidFill>
          </a:ln>
          <a:effectLst/>
        </c:spPr>
        <c:dLbl>
          <c:idx val="0"/>
          <c:layout>
            <c:manualLayout>
              <c:x val="0.15849432883579676"/>
              <c:y val="-6.9264069264069897E-3"/>
            </c:manualLayout>
          </c:layout>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25000"/>
            </a:schemeClr>
          </a:solidFill>
          <a:ln w="19050">
            <a:solidFill>
              <a:schemeClr val="lt1"/>
            </a:solidFill>
          </a:ln>
          <a:effectLst/>
        </c:spPr>
        <c:dLbl>
          <c:idx val="0"/>
          <c:layout>
            <c:manualLayout>
              <c:x val="0.16047550794624435"/>
              <c:y val="0.12813852813852802"/>
            </c:manualLayout>
          </c:layout>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25000"/>
            </a:schemeClr>
          </a:solidFill>
          <a:ln w="19050">
            <a:solidFill>
              <a:schemeClr val="lt1"/>
            </a:solidFill>
          </a:ln>
          <a:effectLst/>
        </c:spPr>
        <c:dLbl>
          <c:idx val="0"/>
          <c:layout>
            <c:manualLayout>
              <c:x val="-0.12679546306863745"/>
              <c:y val="-2.0779220779220779E-2"/>
            </c:manualLayout>
          </c:layout>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25000"/>
            </a:schemeClr>
          </a:solidFill>
          <a:ln w="19050">
            <a:solidFill>
              <a:schemeClr val="lt1"/>
            </a:solidFill>
          </a:ln>
          <a:effectLst/>
        </c:spPr>
      </c:pivotFmt>
    </c:pivotFmts>
    <c:plotArea>
      <c:layout/>
      <c:doughnutChart>
        <c:varyColors val="1"/>
        <c:ser>
          <c:idx val="0"/>
          <c:order val="0"/>
          <c:tx>
            <c:strRef>
              <c:f>Sheet11!$J$23</c:f>
              <c:strCache>
                <c:ptCount val="1"/>
                <c:pt idx="0">
                  <c:v>Total</c:v>
                </c:pt>
              </c:strCache>
            </c:strRef>
          </c:tx>
          <c:spPr>
            <a:solidFill>
              <a:schemeClr val="bg2">
                <a:lumMod val="25000"/>
              </a:schemeClr>
            </a:solidFill>
          </c:spPr>
          <c:dPt>
            <c:idx val="0"/>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1-4A1D-49F6-AA53-8EBA5FC899D0}"/>
              </c:ext>
            </c:extLst>
          </c:dPt>
          <c:dPt>
            <c:idx val="1"/>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3-4A1D-49F6-AA53-8EBA5FC899D0}"/>
              </c:ext>
            </c:extLst>
          </c:dPt>
          <c:dPt>
            <c:idx val="2"/>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5-4A1D-49F6-AA53-8EBA5FC899D0}"/>
              </c:ext>
            </c:extLst>
          </c:dPt>
          <c:dPt>
            <c:idx val="3"/>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7-4A1D-49F6-AA53-8EBA5FC899D0}"/>
              </c:ext>
            </c:extLst>
          </c:dPt>
          <c:dLbls>
            <c:dLbl>
              <c:idx val="0"/>
              <c:layout>
                <c:manualLayout>
                  <c:x val="0.15849432883579676"/>
                  <c:y val="-6.926406926406989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1D-49F6-AA53-8EBA5FC899D0}"/>
                </c:ext>
              </c:extLst>
            </c:dLbl>
            <c:dLbl>
              <c:idx val="1"/>
              <c:layout>
                <c:manualLayout>
                  <c:x val="0.16047550794624435"/>
                  <c:y val="0.128138528138528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A1D-49F6-AA53-8EBA5FC899D0}"/>
                </c:ext>
              </c:extLst>
            </c:dLbl>
            <c:dLbl>
              <c:idx val="2"/>
              <c:layout>
                <c:manualLayout>
                  <c:x val="-0.12679546306863745"/>
                  <c:y val="-2.07792207792207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A1D-49F6-AA53-8EBA5FC899D0}"/>
                </c:ext>
              </c:extLst>
            </c:dLbl>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Sheet11!$I$24:$I$28</c:f>
              <c:strCache>
                <c:ptCount val="4"/>
                <c:pt idx="0">
                  <c:v>Bangla</c:v>
                </c:pt>
                <c:pt idx="1">
                  <c:v>English</c:v>
                </c:pt>
                <c:pt idx="2">
                  <c:v>Mathematics</c:v>
                </c:pt>
                <c:pt idx="3">
                  <c:v>(blank)</c:v>
                </c:pt>
              </c:strCache>
            </c:strRef>
          </c:cat>
          <c:val>
            <c:numRef>
              <c:f>Sheet11!$J$24:$J$28</c:f>
              <c:numCache>
                <c:formatCode>General</c:formatCode>
                <c:ptCount val="4"/>
                <c:pt idx="0">
                  <c:v>77.9375</c:v>
                </c:pt>
                <c:pt idx="1">
                  <c:v>78.9375</c:v>
                </c:pt>
                <c:pt idx="2">
                  <c:v>84.4</c:v>
                </c:pt>
              </c:numCache>
            </c:numRef>
          </c:val>
          <c:extLst>
            <c:ext xmlns:c16="http://schemas.microsoft.com/office/drawing/2014/chart" uri="{C3380CC4-5D6E-409C-BE32-E72D297353CC}">
              <c16:uniqueId val="{00000008-4A1D-49F6-AA53-8EBA5FC899D0}"/>
            </c:ext>
          </c:extLst>
        </c:ser>
        <c:dLbls>
          <c:showLegendKey val="0"/>
          <c:showVal val="1"/>
          <c:showCatName val="0"/>
          <c:showSerName val="0"/>
          <c:showPercent val="0"/>
          <c:showBubbleSize val="0"/>
          <c:showLeaderLines val="1"/>
        </c:dLbls>
        <c:firstSliceAng val="0"/>
        <c:holeSize val="4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a:sp3d/>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v>Total</c:v>
          </c:tx>
          <c:spPr>
            <a:solidFill>
              <a:schemeClr val="tx1"/>
            </a:solidFill>
            <a:ln>
              <a:noFill/>
            </a:ln>
            <a:effectLst/>
            <a:sp3d/>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0"/>
              <c:pt idx="0">
                <c:v>Product_140</c:v>
              </c:pt>
              <c:pt idx="1">
                <c:v>Product_145</c:v>
              </c:pt>
              <c:pt idx="2">
                <c:v>Product_190</c:v>
              </c:pt>
              <c:pt idx="3">
                <c:v>Product_195</c:v>
              </c:pt>
              <c:pt idx="4">
                <c:v>Product_240</c:v>
              </c:pt>
              <c:pt idx="5">
                <c:v>Product_245</c:v>
              </c:pt>
              <c:pt idx="6">
                <c:v>Product_290</c:v>
              </c:pt>
              <c:pt idx="7">
                <c:v>Product_295</c:v>
              </c:pt>
              <c:pt idx="8">
                <c:v>Product_340</c:v>
              </c:pt>
              <c:pt idx="9">
                <c:v>Product_345</c:v>
              </c:pt>
              <c:pt idx="10">
                <c:v>Product_390</c:v>
              </c:pt>
              <c:pt idx="11">
                <c:v>Product_395</c:v>
              </c:pt>
              <c:pt idx="12">
                <c:v>Product_40</c:v>
              </c:pt>
              <c:pt idx="13">
                <c:v>Product_440</c:v>
              </c:pt>
              <c:pt idx="14">
                <c:v>Product_445</c:v>
              </c:pt>
              <c:pt idx="15">
                <c:v>Product_45</c:v>
              </c:pt>
              <c:pt idx="16">
                <c:v>Product_490</c:v>
              </c:pt>
              <c:pt idx="17">
                <c:v>Product_495</c:v>
              </c:pt>
              <c:pt idx="18">
                <c:v>Product_90</c:v>
              </c:pt>
              <c:pt idx="19">
                <c:v>Product_95</c:v>
              </c:pt>
            </c:strLit>
          </c:cat>
          <c:val>
            <c:numLit>
              <c:formatCode>General</c:formatCode>
              <c:ptCount val="20"/>
              <c:pt idx="0">
                <c:v>3250</c:v>
              </c:pt>
              <c:pt idx="1">
                <c:v>3575</c:v>
              </c:pt>
              <c:pt idx="2">
                <c:v>3250</c:v>
              </c:pt>
              <c:pt idx="3">
                <c:v>3575</c:v>
              </c:pt>
              <c:pt idx="4">
                <c:v>3250</c:v>
              </c:pt>
              <c:pt idx="5">
                <c:v>3575</c:v>
              </c:pt>
              <c:pt idx="6">
                <c:v>3250</c:v>
              </c:pt>
              <c:pt idx="7">
                <c:v>3575</c:v>
              </c:pt>
              <c:pt idx="8">
                <c:v>3250</c:v>
              </c:pt>
              <c:pt idx="9">
                <c:v>3575</c:v>
              </c:pt>
              <c:pt idx="10">
                <c:v>3250</c:v>
              </c:pt>
              <c:pt idx="11">
                <c:v>3575</c:v>
              </c:pt>
              <c:pt idx="12">
                <c:v>3250</c:v>
              </c:pt>
              <c:pt idx="13">
                <c:v>3250</c:v>
              </c:pt>
              <c:pt idx="14">
                <c:v>3575</c:v>
              </c:pt>
              <c:pt idx="15">
                <c:v>3575</c:v>
              </c:pt>
              <c:pt idx="16">
                <c:v>3250</c:v>
              </c:pt>
              <c:pt idx="17">
                <c:v>3575</c:v>
              </c:pt>
              <c:pt idx="18">
                <c:v>3250</c:v>
              </c:pt>
              <c:pt idx="19">
                <c:v>3575</c:v>
              </c:pt>
            </c:numLit>
          </c:val>
          <c:extLst>
            <c:ext xmlns:c16="http://schemas.microsoft.com/office/drawing/2014/chart" uri="{C3380CC4-5D6E-409C-BE32-E72D297353CC}">
              <c16:uniqueId val="{00000000-52F4-4806-ADDB-4E7BE1B36A25}"/>
            </c:ext>
          </c:extLst>
        </c:ser>
        <c:dLbls>
          <c:showLegendKey val="0"/>
          <c:showVal val="1"/>
          <c:showCatName val="0"/>
          <c:showSerName val="0"/>
          <c:showPercent val="0"/>
          <c:showBubbleSize val="0"/>
        </c:dLbls>
        <c:gapWidth val="95"/>
        <c:gapDepth val="250"/>
        <c:shape val="box"/>
        <c:axId val="1120471055"/>
        <c:axId val="1120492175"/>
        <c:axId val="1129740927"/>
      </c:bar3DChart>
      <c:catAx>
        <c:axId val="1120471055"/>
        <c:scaling>
          <c:orientation val="minMax"/>
        </c:scaling>
        <c:delete val="1"/>
        <c:axPos val="b"/>
        <c:numFmt formatCode="General" sourceLinked="1"/>
        <c:majorTickMark val="out"/>
        <c:minorTickMark val="none"/>
        <c:tickLblPos val="nextTo"/>
        <c:crossAx val="1120492175"/>
        <c:crosses val="autoZero"/>
        <c:auto val="1"/>
        <c:lblAlgn val="ctr"/>
        <c:lblOffset val="100"/>
        <c:noMultiLvlLbl val="0"/>
      </c:catAx>
      <c:valAx>
        <c:axId val="1120492175"/>
        <c:scaling>
          <c:orientation val="minMax"/>
        </c:scaling>
        <c:delete val="1"/>
        <c:axPos val="l"/>
        <c:numFmt formatCode="General" sourceLinked="1"/>
        <c:majorTickMark val="out"/>
        <c:minorTickMark val="none"/>
        <c:tickLblPos val="nextTo"/>
        <c:crossAx val="1120471055"/>
        <c:crosses val="autoZero"/>
        <c:crossBetween val="between"/>
      </c:valAx>
      <c:serAx>
        <c:axId val="1129740927"/>
        <c:scaling>
          <c:orientation val="minMax"/>
        </c:scaling>
        <c:delete val="1"/>
        <c:axPos val="b"/>
        <c:majorTickMark val="out"/>
        <c:minorTickMark val="none"/>
        <c:tickLblPos val="nextTo"/>
        <c:crossAx val="112049217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35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ln>
                    <a:noFill/>
                  </a:ln>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lineChart>
        <c:grouping val="standard"/>
        <c:varyColors val="0"/>
        <c:ser>
          <c:idx val="0"/>
          <c:order val="0"/>
          <c:tx>
            <c:v>Total</c:v>
          </c:tx>
          <c:spPr>
            <a:ln w="28575" cap="rnd">
              <a:solidFill>
                <a:schemeClr val="tx1"/>
              </a:solidFill>
              <a:round/>
            </a:ln>
            <a:effectLst/>
          </c:spPr>
          <c:marker>
            <c:symbol val="circle"/>
            <c:size val="5"/>
            <c:spPr>
              <a:solidFill>
                <a:schemeClr val="accent1"/>
              </a:solidFill>
              <a:ln w="9525">
                <a:solidFill>
                  <a:schemeClr val="accent1"/>
                </a:solidFill>
              </a:ln>
              <a:effectLst/>
            </c:spPr>
          </c:marker>
          <c:dLbls>
            <c:numFmt formatCode="#,##0" sourceLinked="0"/>
            <c:spPr>
              <a:solidFill>
                <a:schemeClr val="accent2"/>
              </a:solidFill>
              <a:ln>
                <a:noFill/>
              </a:ln>
              <a:effectLst/>
            </c:spPr>
            <c:txPr>
              <a:bodyPr rot="0" spcFirstLastPara="1" vertOverflow="ellipsis" vert="horz" wrap="square" lIns="38100" tIns="19050" rIns="38100" bIns="19050" anchor="ctr" anchorCtr="1">
                <a:spAutoFit/>
              </a:bodyPr>
              <a:lstStyle/>
              <a:p>
                <a:pPr>
                  <a:defRPr sz="1050" b="1" i="1" u="none" strike="noStrike" kern="1200" baseline="0">
                    <a:ln>
                      <a:noFill/>
                    </a:ln>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september</c:v>
              </c:pt>
              <c:pt idx="1">
                <c:v>august   </c:v>
              </c:pt>
              <c:pt idx="2">
                <c:v>december </c:v>
              </c:pt>
              <c:pt idx="3">
                <c:v>january  </c:v>
              </c:pt>
              <c:pt idx="4">
                <c:v>july     </c:v>
              </c:pt>
              <c:pt idx="5">
                <c:v>november </c:v>
              </c:pt>
              <c:pt idx="6">
                <c:v>october  </c:v>
              </c:pt>
            </c:strLit>
          </c:cat>
          <c:val>
            <c:numLit>
              <c:formatCode>General</c:formatCode>
              <c:ptCount val="7"/>
              <c:pt idx="0">
                <c:v>117455</c:v>
              </c:pt>
              <c:pt idx="1">
                <c:v>105274</c:v>
              </c:pt>
              <c:pt idx="2">
                <c:v>129454</c:v>
              </c:pt>
              <c:pt idx="3">
                <c:v>38415</c:v>
              </c:pt>
              <c:pt idx="4">
                <c:v>39546</c:v>
              </c:pt>
              <c:pt idx="5">
                <c:v>116415</c:v>
              </c:pt>
              <c:pt idx="6">
                <c:v>126191</c:v>
              </c:pt>
            </c:numLit>
          </c:val>
          <c:smooth val="0"/>
          <c:extLst>
            <c:ext xmlns:c16="http://schemas.microsoft.com/office/drawing/2014/chart" uri="{C3380CC4-5D6E-409C-BE32-E72D297353CC}">
              <c16:uniqueId val="{00000000-FA91-4CAF-9AE7-825A224E9B9F}"/>
            </c:ext>
          </c:extLst>
        </c:ser>
        <c:dLbls>
          <c:showLegendKey val="0"/>
          <c:showVal val="0"/>
          <c:showCatName val="0"/>
          <c:showSerName val="0"/>
          <c:showPercent val="0"/>
          <c:showBubbleSize val="0"/>
        </c:dLbls>
        <c:marker val="1"/>
        <c:smooth val="0"/>
        <c:axId val="302997343"/>
        <c:axId val="51519935"/>
      </c:lineChart>
      <c:catAx>
        <c:axId val="30299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19935"/>
        <c:crosses val="autoZero"/>
        <c:auto val="1"/>
        <c:lblAlgn val="ctr"/>
        <c:lblOffset val="100"/>
        <c:noMultiLvlLbl val="0"/>
      </c:catAx>
      <c:valAx>
        <c:axId val="51519935"/>
        <c:scaling>
          <c:orientation val="minMax"/>
        </c:scaling>
        <c:delete val="1"/>
        <c:axPos val="l"/>
        <c:numFmt formatCode="General" sourceLinked="1"/>
        <c:majorTickMark val="none"/>
        <c:minorTickMark val="none"/>
        <c:tickLblPos val="nextTo"/>
        <c:crossAx val="30299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35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explosion val="7"/>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69D-49AA-B8A4-E4BEFBD5DDC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69D-49AA-B8A4-E4BEFBD5DDC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69D-49AA-B8A4-E4BEFBD5DDC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69D-49AA-B8A4-E4BEFBD5DDC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69D-49AA-B8A4-E4BEFBD5DDC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extLst>
          </c:dLbls>
          <c:cat>
            <c:strLit>
              <c:ptCount val="5"/>
              <c:pt idx="0">
                <c:v>Central</c:v>
              </c:pt>
              <c:pt idx="1">
                <c:v>East</c:v>
              </c:pt>
              <c:pt idx="2">
                <c:v>North</c:v>
              </c:pt>
              <c:pt idx="3">
                <c:v>South</c:v>
              </c:pt>
              <c:pt idx="4">
                <c:v>West</c:v>
              </c:pt>
            </c:strLit>
          </c:cat>
          <c:val>
            <c:numLit>
              <c:formatCode>General</c:formatCode>
              <c:ptCount val="5"/>
              <c:pt idx="0">
                <c:v>189800</c:v>
              </c:pt>
              <c:pt idx="1">
                <c:v>89700</c:v>
              </c:pt>
              <c:pt idx="2">
                <c:v>211250</c:v>
              </c:pt>
              <c:pt idx="3">
                <c:v>43550</c:v>
              </c:pt>
              <c:pt idx="4">
                <c:v>138450</c:v>
              </c:pt>
            </c:numLit>
          </c:val>
          <c:extLst>
            <c:ext xmlns:c16="http://schemas.microsoft.com/office/drawing/2014/chart" uri="{C3380CC4-5D6E-409C-BE32-E72D297353CC}">
              <c16:uniqueId val="{0000000A-F69D-49AA-B8A4-E4BEFBD5DDCD}"/>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35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Analysis.xlsx]Sales &amp; revenue!PivotTable3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1">
                <a:solidFill>
                  <a:schemeClr val="accent2"/>
                </a:solidFill>
              </a:rPr>
              <a:t>Subject</a:t>
            </a:r>
            <a:r>
              <a:rPr lang="en-US" sz="2000" b="1" i="1" baseline="0">
                <a:solidFill>
                  <a:schemeClr val="accent2"/>
                </a:solidFill>
              </a:rPr>
              <a:t> wise avg_marks</a:t>
            </a:r>
            <a:endParaRPr lang="en-US" sz="2000" b="1" i="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&amp; revenue'!$L$7</c:f>
              <c:strCache>
                <c:ptCount val="1"/>
                <c:pt idx="0">
                  <c:v>Total</c:v>
                </c:pt>
              </c:strCache>
            </c:strRef>
          </c:tx>
          <c:spPr>
            <a:solidFill>
              <a:schemeClr val="accent4">
                <a:lumMod val="20000"/>
                <a:lumOff val="8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&amp; revenue'!$K$8:$K$28</c:f>
              <c:strCache>
                <c:ptCount val="20"/>
                <c:pt idx="0">
                  <c:v>Accounting</c:v>
                </c:pt>
                <c:pt idx="1">
                  <c:v>AI Basics</c:v>
                </c:pt>
                <c:pt idx="2">
                  <c:v>Biology</c:v>
                </c:pt>
                <c:pt idx="3">
                  <c:v>Chemistry</c:v>
                </c:pt>
                <c:pt idx="4">
                  <c:v>Computer Science</c:v>
                </c:pt>
                <c:pt idx="5">
                  <c:v>Data Science</c:v>
                </c:pt>
                <c:pt idx="6">
                  <c:v>Database Systems</c:v>
                </c:pt>
                <c:pt idx="7">
                  <c:v>Economics</c:v>
                </c:pt>
                <c:pt idx="8">
                  <c:v>English</c:v>
                </c:pt>
                <c:pt idx="9">
                  <c:v>Finance</c:v>
                </c:pt>
                <c:pt idx="10">
                  <c:v>Geography</c:v>
                </c:pt>
                <c:pt idx="11">
                  <c:v>History</c:v>
                </c:pt>
                <c:pt idx="12">
                  <c:v>ICT</c:v>
                </c:pt>
                <c:pt idx="13">
                  <c:v>Machine Learning</c:v>
                </c:pt>
                <c:pt idx="14">
                  <c:v>Management</c:v>
                </c:pt>
                <c:pt idx="15">
                  <c:v>Marketing</c:v>
                </c:pt>
                <c:pt idx="16">
                  <c:v>Mathematics</c:v>
                </c:pt>
                <c:pt idx="17">
                  <c:v>Physics</c:v>
                </c:pt>
                <c:pt idx="18">
                  <c:v>Programming</c:v>
                </c:pt>
                <c:pt idx="19">
                  <c:v>Statistics</c:v>
                </c:pt>
              </c:strCache>
            </c:strRef>
          </c:cat>
          <c:val>
            <c:numRef>
              <c:f>'Sales &amp; revenue'!$L$8:$L$28</c:f>
              <c:numCache>
                <c:formatCode>General</c:formatCode>
                <c:ptCount val="20"/>
                <c:pt idx="0">
                  <c:v>70</c:v>
                </c:pt>
                <c:pt idx="1">
                  <c:v>87</c:v>
                </c:pt>
                <c:pt idx="2">
                  <c:v>91</c:v>
                </c:pt>
                <c:pt idx="3">
                  <c:v>79</c:v>
                </c:pt>
                <c:pt idx="4">
                  <c:v>83</c:v>
                </c:pt>
                <c:pt idx="5">
                  <c:v>67</c:v>
                </c:pt>
                <c:pt idx="6">
                  <c:v>72</c:v>
                </c:pt>
                <c:pt idx="7">
                  <c:v>85</c:v>
                </c:pt>
                <c:pt idx="8">
                  <c:v>89</c:v>
                </c:pt>
                <c:pt idx="9">
                  <c:v>74</c:v>
                </c:pt>
                <c:pt idx="10">
                  <c:v>76</c:v>
                </c:pt>
                <c:pt idx="11">
                  <c:v>68</c:v>
                </c:pt>
                <c:pt idx="12">
                  <c:v>69</c:v>
                </c:pt>
                <c:pt idx="13">
                  <c:v>90</c:v>
                </c:pt>
                <c:pt idx="14">
                  <c:v>92</c:v>
                </c:pt>
                <c:pt idx="15">
                  <c:v>88</c:v>
                </c:pt>
                <c:pt idx="16">
                  <c:v>81</c:v>
                </c:pt>
                <c:pt idx="17">
                  <c:v>90</c:v>
                </c:pt>
                <c:pt idx="18">
                  <c:v>95</c:v>
                </c:pt>
                <c:pt idx="19">
                  <c:v>78</c:v>
                </c:pt>
              </c:numCache>
            </c:numRef>
          </c:val>
          <c:extLst>
            <c:ext xmlns:c16="http://schemas.microsoft.com/office/drawing/2014/chart" uri="{C3380CC4-5D6E-409C-BE32-E72D297353CC}">
              <c16:uniqueId val="{00000000-F31C-499B-A2FA-627C2F0B7902}"/>
            </c:ext>
          </c:extLst>
        </c:ser>
        <c:dLbls>
          <c:showLegendKey val="0"/>
          <c:showVal val="1"/>
          <c:showCatName val="0"/>
          <c:showSerName val="0"/>
          <c:showPercent val="0"/>
          <c:showBubbleSize val="0"/>
        </c:dLbls>
        <c:gapWidth val="150"/>
        <c:shape val="box"/>
        <c:axId val="689929424"/>
        <c:axId val="689927984"/>
        <c:axId val="0"/>
      </c:bar3DChart>
      <c:catAx>
        <c:axId val="689929424"/>
        <c:scaling>
          <c:orientation val="minMax"/>
        </c:scaling>
        <c:delete val="0"/>
        <c:axPos val="b"/>
        <c:numFmt formatCode="General" sourceLinked="1"/>
        <c:majorTickMark val="out"/>
        <c:minorTickMark val="none"/>
        <c:tickLblPos val="nextTo"/>
        <c:spPr>
          <a:solidFill>
            <a:schemeClr val="tx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927984"/>
        <c:crosses val="autoZero"/>
        <c:auto val="0"/>
        <c:lblAlgn val="ctr"/>
        <c:lblOffset val="100"/>
        <c:noMultiLvlLbl val="0"/>
      </c:catAx>
      <c:valAx>
        <c:axId val="689927984"/>
        <c:scaling>
          <c:orientation val="minMax"/>
        </c:scaling>
        <c:delete val="1"/>
        <c:axPos val="l"/>
        <c:numFmt formatCode="General" sourceLinked="1"/>
        <c:majorTickMark val="out"/>
        <c:minorTickMark val="none"/>
        <c:tickLblPos val="nextTo"/>
        <c:crossAx val="68992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Analysis.xlsx]Sales &amp; revenue!PivotTable7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1">
                <a:solidFill>
                  <a:schemeClr val="accent2"/>
                </a:solidFill>
              </a:rPr>
              <a:t>Top_3_students</a:t>
            </a:r>
            <a:r>
              <a:rPr lang="en-US" sz="2000" b="1" i="1" baseline="0">
                <a:solidFill>
                  <a:schemeClr val="accent2"/>
                </a:solidFill>
              </a:rPr>
              <a:t> marks</a:t>
            </a:r>
            <a:endParaRPr lang="en-US" sz="2000" b="1" i="1">
              <a:solidFill>
                <a:schemeClr val="accent2"/>
              </a:solidFill>
            </a:endParaRPr>
          </a:p>
        </c:rich>
      </c:tx>
      <c:layout>
        <c:manualLayout>
          <c:xMode val="edge"/>
          <c:yMode val="edge"/>
          <c:x val="0.27928083989501307"/>
          <c:y val="8.85346648742078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5">
              <a:lumMod val="75000"/>
            </a:schemeClr>
          </a:solidFill>
          <a:ln>
            <a:noFill/>
          </a:ln>
          <a:effectLst/>
        </c:spPr>
      </c:pivotFmt>
      <c:pivotFmt>
        <c:idx val="10"/>
        <c:spPr>
          <a:solidFill>
            <a:schemeClr val="accent1"/>
          </a:solidFill>
          <a:ln>
            <a:noFill/>
          </a:ln>
          <a:effectLst/>
        </c:spPr>
      </c:pivotFmt>
    </c:pivotFmts>
    <c:plotArea>
      <c:layout/>
      <c:doughnutChart>
        <c:varyColors val="1"/>
        <c:ser>
          <c:idx val="0"/>
          <c:order val="0"/>
          <c:tx>
            <c:strRef>
              <c:f>'Sales &amp; revenue'!$O$2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DD5-4EC4-8077-021171D3B39B}"/>
              </c:ext>
            </c:extLst>
          </c:dPt>
          <c:dPt>
            <c:idx val="1"/>
            <c:bubble3D val="0"/>
            <c:spPr>
              <a:solidFill>
                <a:schemeClr val="accent2"/>
              </a:solidFill>
              <a:ln>
                <a:noFill/>
              </a:ln>
              <a:effectLst/>
            </c:spPr>
            <c:extLst>
              <c:ext xmlns:c16="http://schemas.microsoft.com/office/drawing/2014/chart" uri="{C3380CC4-5D6E-409C-BE32-E72D297353CC}">
                <c16:uniqueId val="{00000003-8DD5-4EC4-8077-021171D3B39B}"/>
              </c:ext>
            </c:extLst>
          </c:dPt>
          <c:dPt>
            <c:idx val="2"/>
            <c:bubble3D val="0"/>
            <c:spPr>
              <a:solidFill>
                <a:schemeClr val="accent5">
                  <a:lumMod val="75000"/>
                </a:schemeClr>
              </a:solidFill>
              <a:ln>
                <a:noFill/>
              </a:ln>
              <a:effectLst/>
            </c:spPr>
            <c:extLst>
              <c:ext xmlns:c16="http://schemas.microsoft.com/office/drawing/2014/chart" uri="{C3380CC4-5D6E-409C-BE32-E72D297353CC}">
                <c16:uniqueId val="{00000005-8DD5-4EC4-8077-021171D3B39B}"/>
              </c:ext>
            </c:extLst>
          </c:dPt>
          <c:dPt>
            <c:idx val="3"/>
            <c:bubble3D val="0"/>
            <c:spPr>
              <a:solidFill>
                <a:schemeClr val="accent4"/>
              </a:solidFill>
              <a:ln>
                <a:noFill/>
              </a:ln>
              <a:effectLst/>
            </c:spPr>
            <c:extLst>
              <c:ext xmlns:c16="http://schemas.microsoft.com/office/drawing/2014/chart" uri="{C3380CC4-5D6E-409C-BE32-E72D297353CC}">
                <c16:uniqueId val="{00000007-8DD5-4EC4-8077-021171D3B39B}"/>
              </c:ext>
            </c:extLst>
          </c:dPt>
          <c:dLbls>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&amp; revenue'!$N$3:$N$7</c:f>
              <c:strCache>
                <c:ptCount val="4"/>
                <c:pt idx="0">
                  <c:v>Fahim</c:v>
                </c:pt>
                <c:pt idx="1">
                  <c:v>Nayeem</c:v>
                </c:pt>
                <c:pt idx="2">
                  <c:v>Rana</c:v>
                </c:pt>
                <c:pt idx="3">
                  <c:v>(blank)</c:v>
                </c:pt>
              </c:strCache>
            </c:strRef>
          </c:cat>
          <c:val>
            <c:numRef>
              <c:f>'Sales &amp; revenue'!$O$3:$O$7</c:f>
              <c:numCache>
                <c:formatCode>General</c:formatCode>
                <c:ptCount val="4"/>
                <c:pt idx="0">
                  <c:v>95</c:v>
                </c:pt>
                <c:pt idx="1">
                  <c:v>92</c:v>
                </c:pt>
                <c:pt idx="2">
                  <c:v>91</c:v>
                </c:pt>
              </c:numCache>
            </c:numRef>
          </c:val>
          <c:extLst>
            <c:ext xmlns:c16="http://schemas.microsoft.com/office/drawing/2014/chart" uri="{C3380CC4-5D6E-409C-BE32-E72D297353CC}">
              <c16:uniqueId val="{00000008-8DD5-4EC4-8077-021171D3B39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Analysis.xlsx]Sales &amp; revenue!PivotTable4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solidFill>
                  <a:schemeClr val="accent2"/>
                </a:solidFill>
              </a:rPr>
              <a:t>Students</a:t>
            </a:r>
            <a:r>
              <a:rPr lang="en-US" sz="1800" b="1" i="1" baseline="0">
                <a:solidFill>
                  <a:schemeClr val="accent2"/>
                </a:solidFill>
              </a:rPr>
              <a:t>_total_marks &amp; rank</a:t>
            </a:r>
            <a:endParaRPr lang="en-US" sz="1800" b="1" i="1">
              <a:solidFill>
                <a:schemeClr val="accent2"/>
              </a:solidFill>
            </a:endParaRPr>
          </a:p>
        </c:rich>
      </c:tx>
      <c:layout>
        <c:manualLayout>
          <c:xMode val="edge"/>
          <c:yMode val="edge"/>
          <c:x val="0.26019110548244406"/>
          <c:y val="8.04045835733947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&amp; revenue'!$F$22</c:f>
              <c:strCache>
                <c:ptCount val="1"/>
                <c:pt idx="0">
                  <c:v>Sum of marks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&amp; revenue'!$E$23:$E$43</c:f>
              <c:strCache>
                <c:ptCount val="20"/>
                <c:pt idx="0">
                  <c:v>Abu Saib</c:v>
                </c:pt>
                <c:pt idx="1">
                  <c:v>Arafat</c:v>
                </c:pt>
                <c:pt idx="2">
                  <c:v>Fahim</c:v>
                </c:pt>
                <c:pt idx="3">
                  <c:v>Hasan</c:v>
                </c:pt>
                <c:pt idx="4">
                  <c:v>Imran</c:v>
                </c:pt>
                <c:pt idx="5">
                  <c:v>Jubayer</c:v>
                </c:pt>
                <c:pt idx="6">
                  <c:v>Karim</c:v>
                </c:pt>
                <c:pt idx="7">
                  <c:v>Mahmud</c:v>
                </c:pt>
                <c:pt idx="8">
                  <c:v>Nafiz</c:v>
                </c:pt>
                <c:pt idx="9">
                  <c:v>Nayeem</c:v>
                </c:pt>
                <c:pt idx="10">
                  <c:v>Rafi</c:v>
                </c:pt>
                <c:pt idx="11">
                  <c:v>Rahim</c:v>
                </c:pt>
                <c:pt idx="12">
                  <c:v>Rana</c:v>
                </c:pt>
                <c:pt idx="13">
                  <c:v>Sabbir</c:v>
                </c:pt>
                <c:pt idx="14">
                  <c:v>Shakib</c:v>
                </c:pt>
                <c:pt idx="15">
                  <c:v>Sheol</c:v>
                </c:pt>
                <c:pt idx="16">
                  <c:v>Siam</c:v>
                </c:pt>
                <c:pt idx="17">
                  <c:v>Sumi</c:v>
                </c:pt>
                <c:pt idx="18">
                  <c:v>Sumon</c:v>
                </c:pt>
                <c:pt idx="19">
                  <c:v>Tamim</c:v>
                </c:pt>
              </c:strCache>
            </c:strRef>
          </c:cat>
          <c:val>
            <c:numRef>
              <c:f>'Sales &amp; revenue'!$F$23:$F$43</c:f>
              <c:numCache>
                <c:formatCode>General</c:formatCode>
                <c:ptCount val="20"/>
                <c:pt idx="0">
                  <c:v>74</c:v>
                </c:pt>
                <c:pt idx="1">
                  <c:v>85</c:v>
                </c:pt>
                <c:pt idx="2">
                  <c:v>95</c:v>
                </c:pt>
                <c:pt idx="3">
                  <c:v>79</c:v>
                </c:pt>
                <c:pt idx="4">
                  <c:v>70</c:v>
                </c:pt>
                <c:pt idx="5">
                  <c:v>90</c:v>
                </c:pt>
                <c:pt idx="6">
                  <c:v>83</c:v>
                </c:pt>
                <c:pt idx="7">
                  <c:v>87</c:v>
                </c:pt>
                <c:pt idx="8">
                  <c:v>90</c:v>
                </c:pt>
                <c:pt idx="9">
                  <c:v>92</c:v>
                </c:pt>
                <c:pt idx="10">
                  <c:v>78</c:v>
                </c:pt>
                <c:pt idx="11">
                  <c:v>76</c:v>
                </c:pt>
                <c:pt idx="12">
                  <c:v>91</c:v>
                </c:pt>
                <c:pt idx="13">
                  <c:v>68</c:v>
                </c:pt>
                <c:pt idx="14">
                  <c:v>67</c:v>
                </c:pt>
                <c:pt idx="15">
                  <c:v>69</c:v>
                </c:pt>
                <c:pt idx="16">
                  <c:v>89</c:v>
                </c:pt>
                <c:pt idx="17">
                  <c:v>88</c:v>
                </c:pt>
                <c:pt idx="18">
                  <c:v>72</c:v>
                </c:pt>
                <c:pt idx="19">
                  <c:v>81</c:v>
                </c:pt>
              </c:numCache>
            </c:numRef>
          </c:val>
          <c:smooth val="0"/>
          <c:extLst>
            <c:ext xmlns:c16="http://schemas.microsoft.com/office/drawing/2014/chart" uri="{C3380CC4-5D6E-409C-BE32-E72D297353CC}">
              <c16:uniqueId val="{00000000-D7E1-4E6A-A9F0-A557BA130DF2}"/>
            </c:ext>
          </c:extLst>
        </c:ser>
        <c:ser>
          <c:idx val="1"/>
          <c:order val="1"/>
          <c:tx>
            <c:strRef>
              <c:f>'Sales &amp; revenue'!$G$22</c:f>
              <c:strCache>
                <c:ptCount val="1"/>
                <c:pt idx="0">
                  <c:v>Sum of rank</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&amp; revenue'!$E$23:$E$43</c:f>
              <c:strCache>
                <c:ptCount val="20"/>
                <c:pt idx="0">
                  <c:v>Abu Saib</c:v>
                </c:pt>
                <c:pt idx="1">
                  <c:v>Arafat</c:v>
                </c:pt>
                <c:pt idx="2">
                  <c:v>Fahim</c:v>
                </c:pt>
                <c:pt idx="3">
                  <c:v>Hasan</c:v>
                </c:pt>
                <c:pt idx="4">
                  <c:v>Imran</c:v>
                </c:pt>
                <c:pt idx="5">
                  <c:v>Jubayer</c:v>
                </c:pt>
                <c:pt idx="6">
                  <c:v>Karim</c:v>
                </c:pt>
                <c:pt idx="7">
                  <c:v>Mahmud</c:v>
                </c:pt>
                <c:pt idx="8">
                  <c:v>Nafiz</c:v>
                </c:pt>
                <c:pt idx="9">
                  <c:v>Nayeem</c:v>
                </c:pt>
                <c:pt idx="10">
                  <c:v>Rafi</c:v>
                </c:pt>
                <c:pt idx="11">
                  <c:v>Rahim</c:v>
                </c:pt>
                <c:pt idx="12">
                  <c:v>Rana</c:v>
                </c:pt>
                <c:pt idx="13">
                  <c:v>Sabbir</c:v>
                </c:pt>
                <c:pt idx="14">
                  <c:v>Shakib</c:v>
                </c:pt>
                <c:pt idx="15">
                  <c:v>Sheol</c:v>
                </c:pt>
                <c:pt idx="16">
                  <c:v>Siam</c:v>
                </c:pt>
                <c:pt idx="17">
                  <c:v>Sumi</c:v>
                </c:pt>
                <c:pt idx="18">
                  <c:v>Sumon</c:v>
                </c:pt>
                <c:pt idx="19">
                  <c:v>Tamim</c:v>
                </c:pt>
              </c:strCache>
            </c:strRef>
          </c:cat>
          <c:val>
            <c:numRef>
              <c:f>'Sales &amp; revenue'!$G$23:$G$43</c:f>
              <c:numCache>
                <c:formatCode>General</c:formatCode>
                <c:ptCount val="20"/>
                <c:pt idx="0">
                  <c:v>9</c:v>
                </c:pt>
                <c:pt idx="1">
                  <c:v>1</c:v>
                </c:pt>
                <c:pt idx="2">
                  <c:v>17</c:v>
                </c:pt>
                <c:pt idx="3">
                  <c:v>13</c:v>
                </c:pt>
                <c:pt idx="4">
                  <c:v>14</c:v>
                </c:pt>
                <c:pt idx="5">
                  <c:v>20</c:v>
                </c:pt>
                <c:pt idx="6">
                  <c:v>12</c:v>
                </c:pt>
                <c:pt idx="7">
                  <c:v>19</c:v>
                </c:pt>
                <c:pt idx="8">
                  <c:v>7</c:v>
                </c:pt>
                <c:pt idx="9">
                  <c:v>16</c:v>
                </c:pt>
                <c:pt idx="10">
                  <c:v>2</c:v>
                </c:pt>
                <c:pt idx="11">
                  <c:v>11</c:v>
                </c:pt>
                <c:pt idx="12">
                  <c:v>6</c:v>
                </c:pt>
                <c:pt idx="13">
                  <c:v>15</c:v>
                </c:pt>
                <c:pt idx="14">
                  <c:v>4</c:v>
                </c:pt>
                <c:pt idx="15">
                  <c:v>8</c:v>
                </c:pt>
                <c:pt idx="16">
                  <c:v>18</c:v>
                </c:pt>
                <c:pt idx="17">
                  <c:v>3</c:v>
                </c:pt>
                <c:pt idx="18">
                  <c:v>4</c:v>
                </c:pt>
                <c:pt idx="19">
                  <c:v>10</c:v>
                </c:pt>
              </c:numCache>
            </c:numRef>
          </c:val>
          <c:smooth val="0"/>
          <c:extLst>
            <c:ext xmlns:c16="http://schemas.microsoft.com/office/drawing/2014/chart" uri="{C3380CC4-5D6E-409C-BE32-E72D297353CC}">
              <c16:uniqueId val="{00000001-D7E1-4E6A-A9F0-A557BA130DF2}"/>
            </c:ext>
          </c:extLst>
        </c:ser>
        <c:dLbls>
          <c:dLblPos val="t"/>
          <c:showLegendKey val="0"/>
          <c:showVal val="1"/>
          <c:showCatName val="0"/>
          <c:showSerName val="0"/>
          <c:showPercent val="0"/>
          <c:showBubbleSize val="0"/>
        </c:dLbls>
        <c:smooth val="0"/>
        <c:axId val="689927504"/>
        <c:axId val="689939984"/>
      </c:lineChart>
      <c:catAx>
        <c:axId val="689927504"/>
        <c:scaling>
          <c:orientation val="minMax"/>
        </c:scaling>
        <c:delete val="1"/>
        <c:axPos val="b"/>
        <c:numFmt formatCode="General" sourceLinked="1"/>
        <c:majorTickMark val="none"/>
        <c:minorTickMark val="none"/>
        <c:tickLblPos val="nextTo"/>
        <c:crossAx val="689939984"/>
        <c:crosses val="autoZero"/>
        <c:auto val="1"/>
        <c:lblAlgn val="ctr"/>
        <c:lblOffset val="100"/>
        <c:noMultiLvlLbl val="0"/>
      </c:catAx>
      <c:valAx>
        <c:axId val="689939984"/>
        <c:scaling>
          <c:orientation val="minMax"/>
        </c:scaling>
        <c:delete val="1"/>
        <c:axPos val="l"/>
        <c:numFmt formatCode="General" sourceLinked="1"/>
        <c:majorTickMark val="none"/>
        <c:minorTickMark val="none"/>
        <c:tickLblPos val="nextTo"/>
        <c:crossAx val="68992750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Analysis.xlsx]Sales &amp; revenue!PivotTable6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solidFill>
                  <a:schemeClr val="accent2"/>
                </a:solidFill>
              </a:rPr>
              <a:t>Top_Students</a:t>
            </a:r>
            <a:r>
              <a:rPr lang="en-US" sz="1800" b="1" i="1" baseline="0">
                <a:solidFill>
                  <a:schemeClr val="accent2"/>
                </a:solidFill>
              </a:rPr>
              <a:t> contribution_percentage</a:t>
            </a:r>
            <a:endParaRPr lang="en-US" sz="1800" b="1" i="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3398565765053425E-2"/>
          <c:y val="0.13448015650479517"/>
          <c:w val="0.93863319386331934"/>
          <c:h val="0.74744994870178028"/>
        </c:manualLayout>
      </c:layout>
      <c:bar3DChart>
        <c:barDir val="col"/>
        <c:grouping val="standard"/>
        <c:varyColors val="0"/>
        <c:ser>
          <c:idx val="0"/>
          <c:order val="0"/>
          <c:tx>
            <c:strRef>
              <c:f>'Sales &amp; revenue'!$B$25</c:f>
              <c:strCache>
                <c:ptCount val="1"/>
                <c:pt idx="0">
                  <c:v>Total</c:v>
                </c:pt>
              </c:strCache>
            </c:strRef>
          </c:tx>
          <c:spPr>
            <a:solidFill>
              <a:schemeClr val="accent1">
                <a:lumMod val="20000"/>
                <a:lumOff val="8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&amp; revenue'!$A$26:$A$30</c:f>
              <c:strCache>
                <c:ptCount val="4"/>
                <c:pt idx="0">
                  <c:v>Fahim</c:v>
                </c:pt>
                <c:pt idx="1">
                  <c:v>Nayeem</c:v>
                </c:pt>
                <c:pt idx="2">
                  <c:v>Rana</c:v>
                </c:pt>
                <c:pt idx="3">
                  <c:v>(blank)</c:v>
                </c:pt>
              </c:strCache>
            </c:strRef>
          </c:cat>
          <c:val>
            <c:numRef>
              <c:f>'Sales &amp; revenue'!$B$26:$B$30</c:f>
              <c:numCache>
                <c:formatCode>General</c:formatCode>
                <c:ptCount val="4"/>
                <c:pt idx="0">
                  <c:v>5.85</c:v>
                </c:pt>
                <c:pt idx="1">
                  <c:v>5.67</c:v>
                </c:pt>
                <c:pt idx="2">
                  <c:v>5.6</c:v>
                </c:pt>
                <c:pt idx="3">
                  <c:v>82.88</c:v>
                </c:pt>
              </c:numCache>
            </c:numRef>
          </c:val>
          <c:extLst>
            <c:ext xmlns:c16="http://schemas.microsoft.com/office/drawing/2014/chart" uri="{C3380CC4-5D6E-409C-BE32-E72D297353CC}">
              <c16:uniqueId val="{00000000-68B5-431D-A3E0-4B3463050017}"/>
            </c:ext>
          </c:extLst>
        </c:ser>
        <c:dLbls>
          <c:showLegendKey val="0"/>
          <c:showVal val="1"/>
          <c:showCatName val="0"/>
          <c:showSerName val="0"/>
          <c:showPercent val="0"/>
          <c:showBubbleSize val="0"/>
        </c:dLbls>
        <c:gapWidth val="150"/>
        <c:shape val="box"/>
        <c:axId val="689930864"/>
        <c:axId val="689933744"/>
        <c:axId val="685822944"/>
      </c:bar3DChart>
      <c:catAx>
        <c:axId val="689930864"/>
        <c:scaling>
          <c:orientation val="minMax"/>
        </c:scaling>
        <c:delete val="1"/>
        <c:axPos val="b"/>
        <c:numFmt formatCode="General" sourceLinked="1"/>
        <c:majorTickMark val="none"/>
        <c:minorTickMark val="none"/>
        <c:tickLblPos val="nextTo"/>
        <c:crossAx val="689933744"/>
        <c:crosses val="autoZero"/>
        <c:auto val="1"/>
        <c:lblAlgn val="ctr"/>
        <c:lblOffset val="100"/>
        <c:noMultiLvlLbl val="0"/>
      </c:catAx>
      <c:valAx>
        <c:axId val="689933744"/>
        <c:scaling>
          <c:orientation val="minMax"/>
        </c:scaling>
        <c:delete val="1"/>
        <c:axPos val="l"/>
        <c:numFmt formatCode="General" sourceLinked="1"/>
        <c:majorTickMark val="none"/>
        <c:minorTickMark val="none"/>
        <c:tickLblPos val="nextTo"/>
        <c:crossAx val="689930864"/>
        <c:crosses val="autoZero"/>
        <c:crossBetween val="between"/>
      </c:valAx>
      <c:serAx>
        <c:axId val="685822944"/>
        <c:scaling>
          <c:orientation val="minMax"/>
        </c:scaling>
        <c:delete val="1"/>
        <c:axPos val="b"/>
        <c:majorTickMark val="none"/>
        <c:minorTickMark val="none"/>
        <c:tickLblPos val="nextTo"/>
        <c:crossAx val="68993374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9"/>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1"/>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2"/>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3"/>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4"/>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5"/>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6"/>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Series1</c:v>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715-464C-A781-EAF72CADB97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715-464C-A781-EAF72CADB97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6715-464C-A781-EAF72CADB97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6715-464C-A781-EAF72CADB97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6715-464C-A781-EAF72CADB97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6715-464C-A781-EAF72CADB97F}"/>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6715-464C-A781-EAF72CADB97F}"/>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6715-464C-A781-EAF72CADB97F}"/>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6715-464C-A781-EAF72CADB97F}"/>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6715-464C-A781-EAF72CADB97F}"/>
              </c:ext>
            </c:extLst>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5-6715-464C-A781-EAF72CADB97F}"/>
              </c:ext>
            </c:extLst>
          </c:dPt>
          <c:dPt>
            <c:idx val="11"/>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6715-464C-A781-EAF72CADB97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12"/>
              <c:pt idx="0">
                <c:v>Jan</c:v>
              </c:pt>
              <c:pt idx="1">
                <c:v>Sep</c:v>
              </c:pt>
              <c:pt idx="2">
                <c:v>Jul</c:v>
              </c:pt>
              <c:pt idx="3">
                <c:v>Mar</c:v>
              </c:pt>
              <c:pt idx="4">
                <c:v>Nov</c:v>
              </c:pt>
              <c:pt idx="5">
                <c:v>Apr</c:v>
              </c:pt>
              <c:pt idx="6">
                <c:v>Jun</c:v>
              </c:pt>
              <c:pt idx="7">
                <c:v>May</c:v>
              </c:pt>
              <c:pt idx="8">
                <c:v>Aug</c:v>
              </c:pt>
              <c:pt idx="9">
                <c:v>Dec</c:v>
              </c:pt>
              <c:pt idx="10">
                <c:v>Feb</c:v>
              </c:pt>
              <c:pt idx="11">
                <c:v>Oct</c:v>
              </c:pt>
            </c:strLit>
          </c:cat>
          <c:val>
            <c:numLit>
              <c:formatCode>General</c:formatCode>
              <c:ptCount val="12"/>
              <c:pt idx="0">
                <c:v>3</c:v>
              </c:pt>
              <c:pt idx="1">
                <c:v>2</c:v>
              </c:pt>
              <c:pt idx="2">
                <c:v>2</c:v>
              </c:pt>
              <c:pt idx="3">
                <c:v>2</c:v>
              </c:pt>
              <c:pt idx="4">
                <c:v>2</c:v>
              </c:pt>
              <c:pt idx="5">
                <c:v>2</c:v>
              </c:pt>
              <c:pt idx="6">
                <c:v>2</c:v>
              </c:pt>
              <c:pt idx="7">
                <c:v>1</c:v>
              </c:pt>
              <c:pt idx="8">
                <c:v>1</c:v>
              </c:pt>
              <c:pt idx="9">
                <c:v>1</c:v>
              </c:pt>
              <c:pt idx="10">
                <c:v>1</c:v>
              </c:pt>
              <c:pt idx="11">
                <c:v>1</c:v>
              </c:pt>
            </c:numLit>
          </c:val>
          <c:extLst>
            <c:ext xmlns:c16="http://schemas.microsoft.com/office/drawing/2014/chart" uri="{C3380CC4-5D6E-409C-BE32-E72D297353CC}">
              <c16:uniqueId val="{00000018-6715-464C-A781-EAF72CADB97F}"/>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40000"/>
              <a:lumOff val="60000"/>
            </a:schemeClr>
          </a:solidFill>
          <a:ln>
            <a:solidFill>
              <a:schemeClr val="accent5">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Series1</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Customer Support</c:v>
              </c:pt>
              <c:pt idx="1">
                <c:v>Finance</c:v>
              </c:pt>
              <c:pt idx="2">
                <c:v>HR</c:v>
              </c:pt>
              <c:pt idx="3">
                <c:v>IT</c:v>
              </c:pt>
              <c:pt idx="4">
                <c:v>Marketing</c:v>
              </c:pt>
              <c:pt idx="5">
                <c:v>Operations</c:v>
              </c:pt>
              <c:pt idx="6">
                <c:v>Sales</c:v>
              </c:pt>
            </c:strLit>
          </c:cat>
          <c:val>
            <c:numLit>
              <c:formatCode>General</c:formatCode>
              <c:ptCount val="7"/>
              <c:pt idx="0">
                <c:v>0</c:v>
              </c:pt>
              <c:pt idx="1">
                <c:v>3</c:v>
              </c:pt>
              <c:pt idx="2">
                <c:v>0</c:v>
              </c:pt>
              <c:pt idx="3">
                <c:v>0</c:v>
              </c:pt>
              <c:pt idx="4">
                <c:v>0</c:v>
              </c:pt>
              <c:pt idx="5">
                <c:v>3</c:v>
              </c:pt>
              <c:pt idx="6">
                <c:v>0</c:v>
              </c:pt>
            </c:numLit>
          </c:val>
          <c:extLst>
            <c:ext xmlns:c16="http://schemas.microsoft.com/office/drawing/2014/chart" uri="{C3380CC4-5D6E-409C-BE32-E72D297353CC}">
              <c16:uniqueId val="{00000000-E8B2-4114-AE46-238571A3C132}"/>
            </c:ext>
          </c:extLst>
        </c:ser>
        <c:ser>
          <c:idx val="1"/>
          <c:order val="1"/>
          <c:tx>
            <c:v>Series2</c:v>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Customer Support</c:v>
              </c:pt>
              <c:pt idx="1">
                <c:v>Finance</c:v>
              </c:pt>
              <c:pt idx="2">
                <c:v>HR</c:v>
              </c:pt>
              <c:pt idx="3">
                <c:v>IT</c:v>
              </c:pt>
              <c:pt idx="4">
                <c:v>Marketing</c:v>
              </c:pt>
              <c:pt idx="5">
                <c:v>Operations</c:v>
              </c:pt>
              <c:pt idx="6">
                <c:v>Sales</c:v>
              </c:pt>
            </c:strLit>
          </c:cat>
          <c:val>
            <c:numLit>
              <c:formatCode>General</c:formatCode>
              <c:ptCount val="7"/>
              <c:pt idx="0">
                <c:v>2</c:v>
              </c:pt>
              <c:pt idx="1">
                <c:v>0</c:v>
              </c:pt>
              <c:pt idx="2">
                <c:v>2</c:v>
              </c:pt>
              <c:pt idx="3">
                <c:v>2</c:v>
              </c:pt>
              <c:pt idx="4">
                <c:v>2</c:v>
              </c:pt>
              <c:pt idx="5">
                <c:v>0</c:v>
              </c:pt>
              <c:pt idx="6">
                <c:v>2</c:v>
              </c:pt>
            </c:numLit>
          </c:val>
          <c:extLst>
            <c:ext xmlns:c16="http://schemas.microsoft.com/office/drawing/2014/chart" uri="{C3380CC4-5D6E-409C-BE32-E72D297353CC}">
              <c16:uniqueId val="{00000001-E8B2-4114-AE46-238571A3C132}"/>
            </c:ext>
          </c:extLst>
        </c:ser>
        <c:ser>
          <c:idx val="2"/>
          <c:order val="2"/>
          <c:tx>
            <c:v>Series3</c:v>
          </c:tx>
          <c:spPr>
            <a:solidFill>
              <a:schemeClr val="accent2">
                <a:lumMod val="40000"/>
                <a:lumOff val="60000"/>
              </a:schemeClr>
            </a:solidFill>
            <a:ln>
              <a:solidFill>
                <a:schemeClr val="accent5">
                  <a:lumMod val="20000"/>
                  <a:lumOff val="8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Customer Support</c:v>
              </c:pt>
              <c:pt idx="1">
                <c:v>Finance</c:v>
              </c:pt>
              <c:pt idx="2">
                <c:v>HR</c:v>
              </c:pt>
              <c:pt idx="3">
                <c:v>IT</c:v>
              </c:pt>
              <c:pt idx="4">
                <c:v>Marketing</c:v>
              </c:pt>
              <c:pt idx="5">
                <c:v>Operations</c:v>
              </c:pt>
              <c:pt idx="6">
                <c:v>Sales</c:v>
              </c:pt>
            </c:strLit>
          </c:cat>
          <c:val>
            <c:numLit>
              <c:formatCode>General</c:formatCode>
              <c:ptCount val="7"/>
              <c:pt idx="0">
                <c:v>0</c:v>
              </c:pt>
              <c:pt idx="1">
                <c:v>0</c:v>
              </c:pt>
              <c:pt idx="2">
                <c:v>0</c:v>
              </c:pt>
              <c:pt idx="3">
                <c:v>1</c:v>
              </c:pt>
              <c:pt idx="4">
                <c:v>0</c:v>
              </c:pt>
              <c:pt idx="5">
                <c:v>1</c:v>
              </c:pt>
              <c:pt idx="6">
                <c:v>1</c:v>
              </c:pt>
            </c:numLit>
          </c:val>
          <c:extLst>
            <c:ext xmlns:c16="http://schemas.microsoft.com/office/drawing/2014/chart" uri="{C3380CC4-5D6E-409C-BE32-E72D297353CC}">
              <c16:uniqueId val="{00000002-E8B2-4114-AE46-238571A3C132}"/>
            </c:ext>
          </c:extLst>
        </c:ser>
        <c:dLbls>
          <c:dLblPos val="ctr"/>
          <c:showLegendKey val="0"/>
          <c:showVal val="1"/>
          <c:showCatName val="0"/>
          <c:showSerName val="0"/>
          <c:showPercent val="0"/>
          <c:showBubbleSize val="0"/>
        </c:dLbls>
        <c:gapWidth val="20"/>
        <c:overlap val="100"/>
        <c:axId val="1028783359"/>
        <c:axId val="1028769919"/>
      </c:barChart>
      <c:catAx>
        <c:axId val="1028783359"/>
        <c:scaling>
          <c:orientation val="minMax"/>
        </c:scaling>
        <c:delete val="1"/>
        <c:axPos val="l"/>
        <c:numFmt formatCode="General" sourceLinked="1"/>
        <c:majorTickMark val="none"/>
        <c:minorTickMark val="none"/>
        <c:tickLblPos val="nextTo"/>
        <c:crossAx val="1028769919"/>
        <c:crosses val="autoZero"/>
        <c:auto val="1"/>
        <c:lblAlgn val="ctr"/>
        <c:lblOffset val="100"/>
        <c:noMultiLvlLbl val="0"/>
      </c:catAx>
      <c:valAx>
        <c:axId val="1028769919"/>
        <c:scaling>
          <c:orientation val="minMax"/>
        </c:scaling>
        <c:delete val="1"/>
        <c:axPos val="b"/>
        <c:numFmt formatCode="General" sourceLinked="1"/>
        <c:majorTickMark val="none"/>
        <c:minorTickMark val="none"/>
        <c:tickLblPos val="nextTo"/>
        <c:crossAx val="102878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475750577367205E-2"/>
          <c:y val="0.15749336246264015"/>
          <c:w val="0.96612779060816012"/>
          <c:h val="0.61523189659096078"/>
        </c:manualLayout>
      </c:layout>
      <c:lineChart>
        <c:grouping val="standard"/>
        <c:varyColors val="0"/>
        <c:ser>
          <c:idx val="0"/>
          <c:order val="0"/>
          <c:tx>
            <c:v>Total</c:v>
          </c:tx>
          <c:spPr>
            <a:ln w="28575" cap="rnd">
              <a:solidFill>
                <a:schemeClr val="tx1"/>
              </a:solidFill>
              <a:round/>
            </a:ln>
            <a:effectLst/>
          </c:spPr>
          <c:marker>
            <c:symbol val="circle"/>
            <c:size val="5"/>
            <c:spPr>
              <a:solidFill>
                <a:schemeClr val="tx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Customer Support</c:v>
              </c:pt>
              <c:pt idx="1">
                <c:v>Finance</c:v>
              </c:pt>
              <c:pt idx="2">
                <c:v>HR</c:v>
              </c:pt>
              <c:pt idx="3">
                <c:v>IT</c:v>
              </c:pt>
              <c:pt idx="4">
                <c:v>Marketing</c:v>
              </c:pt>
              <c:pt idx="5">
                <c:v>Operations</c:v>
              </c:pt>
              <c:pt idx="6">
                <c:v>Sales</c:v>
              </c:pt>
            </c:strLit>
          </c:cat>
          <c:val>
            <c:numLit>
              <c:formatCode>General</c:formatCode>
              <c:ptCount val="7"/>
              <c:pt idx="0">
                <c:v>57000</c:v>
              </c:pt>
              <c:pt idx="1">
                <c:v>56666.666666666599</c:v>
              </c:pt>
              <c:pt idx="2">
                <c:v>62666.666666666599</c:v>
              </c:pt>
              <c:pt idx="3">
                <c:v>74600</c:v>
              </c:pt>
              <c:pt idx="4">
                <c:v>47500</c:v>
              </c:pt>
              <c:pt idx="5">
                <c:v>65000</c:v>
              </c:pt>
              <c:pt idx="6">
                <c:v>59333.333333333299</c:v>
              </c:pt>
            </c:numLit>
          </c:val>
          <c:smooth val="0"/>
          <c:extLst>
            <c:ext xmlns:c16="http://schemas.microsoft.com/office/drawing/2014/chart" uri="{C3380CC4-5D6E-409C-BE32-E72D297353CC}">
              <c16:uniqueId val="{00000000-0AF3-4BA6-83A1-770356B628FE}"/>
            </c:ext>
          </c:extLst>
        </c:ser>
        <c:dLbls>
          <c:dLblPos val="t"/>
          <c:showLegendKey val="0"/>
          <c:showVal val="1"/>
          <c:showCatName val="0"/>
          <c:showSerName val="0"/>
          <c:showPercent val="0"/>
          <c:showBubbleSize val="0"/>
        </c:dLbls>
        <c:marker val="1"/>
        <c:smooth val="0"/>
        <c:axId val="1028739199"/>
        <c:axId val="1028757919"/>
      </c:lineChart>
      <c:catAx>
        <c:axId val="1028739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57919"/>
        <c:crosses val="autoZero"/>
        <c:auto val="1"/>
        <c:lblAlgn val="ctr"/>
        <c:lblOffset val="100"/>
        <c:noMultiLvlLbl val="0"/>
      </c:catAx>
      <c:valAx>
        <c:axId val="1028757919"/>
        <c:scaling>
          <c:orientation val="minMax"/>
        </c:scaling>
        <c:delete val="1"/>
        <c:axPos val="l"/>
        <c:numFmt formatCode="General" sourceLinked="1"/>
        <c:majorTickMark val="out"/>
        <c:minorTickMark val="none"/>
        <c:tickLblPos val="nextTo"/>
        <c:crossAx val="1028739199"/>
        <c:crosses val="autoZero"/>
        <c:crossBetween val="between"/>
      </c:valAx>
      <c:spPr>
        <a:noFill/>
        <a:ln>
          <a:noFill/>
        </a:ln>
        <a:effectLst>
          <a:glow rad="127000">
            <a:schemeClr val="accent1">
              <a:lumMod val="75000"/>
            </a:schemeClr>
          </a:glow>
          <a:outerShdw blurRad="50800" dist="50800" dir="5400000" algn="ctr" rotWithShape="0">
            <a:schemeClr val="bg2"/>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1.9240016325229599E-2"/>
          <c:y val="0.17175075337804996"/>
          <c:w val="0.95767196408449484"/>
          <c:h val="0.63576630698940406"/>
        </c:manualLayout>
      </c:layout>
      <c:barChart>
        <c:barDir val="col"/>
        <c:grouping val="clustered"/>
        <c:varyColors val="0"/>
        <c:ser>
          <c:idx val="0"/>
          <c:order val="0"/>
          <c:tx>
            <c:v>Total</c:v>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Customer Support</c:v>
              </c:pt>
              <c:pt idx="1">
                <c:v>Finance</c:v>
              </c:pt>
              <c:pt idx="2">
                <c:v>HR</c:v>
              </c:pt>
              <c:pt idx="3">
                <c:v>IT</c:v>
              </c:pt>
              <c:pt idx="4">
                <c:v>Marketing</c:v>
              </c:pt>
              <c:pt idx="5">
                <c:v>Operations</c:v>
              </c:pt>
              <c:pt idx="6">
                <c:v>Sales</c:v>
              </c:pt>
            </c:strLit>
          </c:cat>
          <c:val>
            <c:numLit>
              <c:formatCode>General</c:formatCode>
              <c:ptCount val="7"/>
              <c:pt idx="0">
                <c:v>2</c:v>
              </c:pt>
              <c:pt idx="1">
                <c:v>3</c:v>
              </c:pt>
              <c:pt idx="2">
                <c:v>3</c:v>
              </c:pt>
              <c:pt idx="3">
                <c:v>5</c:v>
              </c:pt>
              <c:pt idx="4">
                <c:v>2</c:v>
              </c:pt>
              <c:pt idx="5">
                <c:v>2</c:v>
              </c:pt>
              <c:pt idx="6">
                <c:v>3</c:v>
              </c:pt>
            </c:numLit>
          </c:val>
          <c:extLst>
            <c:ext xmlns:c16="http://schemas.microsoft.com/office/drawing/2014/chart" uri="{C3380CC4-5D6E-409C-BE32-E72D297353CC}">
              <c16:uniqueId val="{00000000-541D-41EB-8105-3840DB9ABC19}"/>
            </c:ext>
          </c:extLst>
        </c:ser>
        <c:dLbls>
          <c:dLblPos val="outEnd"/>
          <c:showLegendKey val="0"/>
          <c:showVal val="1"/>
          <c:showCatName val="0"/>
          <c:showSerName val="0"/>
          <c:showPercent val="0"/>
          <c:showBubbleSize val="0"/>
        </c:dLbls>
        <c:gapWidth val="219"/>
        <c:overlap val="-27"/>
        <c:axId val="1028758399"/>
        <c:axId val="1028739679"/>
      </c:barChart>
      <c:catAx>
        <c:axId val="1028758399"/>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39679"/>
        <c:crosses val="autoZero"/>
        <c:auto val="1"/>
        <c:lblAlgn val="ctr"/>
        <c:lblOffset val="100"/>
        <c:noMultiLvlLbl val="0"/>
      </c:catAx>
      <c:valAx>
        <c:axId val="1028739679"/>
        <c:scaling>
          <c:orientation val="minMax"/>
        </c:scaling>
        <c:delete val="1"/>
        <c:axPos val="l"/>
        <c:numFmt formatCode="General" sourceLinked="1"/>
        <c:majorTickMark val="out"/>
        <c:minorTickMark val="none"/>
        <c:tickLblPos val="nextTo"/>
        <c:crossAx val="102875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133350</xdr:colOff>
      <xdr:row>3</xdr:row>
      <xdr:rowOff>2295525</xdr:rowOff>
    </xdr:to>
    <xdr:graphicFrame macro="">
      <xdr:nvGraphicFramePr>
        <xdr:cNvPr id="2" name="Chart 1">
          <a:extLst>
            <a:ext uri="{FF2B5EF4-FFF2-40B4-BE49-F238E27FC236}">
              <a16:creationId xmlns:a16="http://schemas.microsoft.com/office/drawing/2014/main" id="{4F9C375A-73C4-6FFC-5318-B52F72131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257174</xdr:colOff>
      <xdr:row>0</xdr:row>
      <xdr:rowOff>66674</xdr:rowOff>
    </xdr:from>
    <xdr:to>
      <xdr:col>15</xdr:col>
      <xdr:colOff>1028699</xdr:colOff>
      <xdr:row>3</xdr:row>
      <xdr:rowOff>2362200</xdr:rowOff>
    </xdr:to>
    <xdr:graphicFrame macro="">
      <xdr:nvGraphicFramePr>
        <xdr:cNvPr id="3" name="Chart 2">
          <a:extLst>
            <a:ext uri="{FF2B5EF4-FFF2-40B4-BE49-F238E27FC236}">
              <a16:creationId xmlns:a16="http://schemas.microsoft.com/office/drawing/2014/main" id="{771DFCDA-9AA4-0847-0C3B-D07DA4FB2E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2333625</xdr:rowOff>
    </xdr:from>
    <xdr:to>
      <xdr:col>15</xdr:col>
      <xdr:colOff>1057274</xdr:colOff>
      <xdr:row>4</xdr:row>
      <xdr:rowOff>1</xdr:rowOff>
    </xdr:to>
    <xdr:graphicFrame macro="">
      <xdr:nvGraphicFramePr>
        <xdr:cNvPr id="4" name="Chart 3">
          <a:extLst>
            <a:ext uri="{FF2B5EF4-FFF2-40B4-BE49-F238E27FC236}">
              <a16:creationId xmlns:a16="http://schemas.microsoft.com/office/drawing/2014/main" id="{5D1E02A3-5896-593A-9890-0A5F6E989A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1066799</xdr:colOff>
      <xdr:row>3</xdr:row>
      <xdr:rowOff>1181100</xdr:rowOff>
    </xdr:from>
    <xdr:to>
      <xdr:col>20</xdr:col>
      <xdr:colOff>9524</xdr:colOff>
      <xdr:row>3</xdr:row>
      <xdr:rowOff>3438526</xdr:rowOff>
    </xdr:to>
    <mc:AlternateContent xmlns:mc="http://schemas.openxmlformats.org/markup-compatibility/2006" xmlns:a14="http://schemas.microsoft.com/office/drawing/2010/main">
      <mc:Choice Requires="a14">
        <xdr:graphicFrame macro="">
          <xdr:nvGraphicFramePr>
            <xdr:cNvPr id="8" name="Name">
              <a:extLst>
                <a:ext uri="{FF2B5EF4-FFF2-40B4-BE49-F238E27FC236}">
                  <a16:creationId xmlns:a16="http://schemas.microsoft.com/office/drawing/2014/main" id="{8F9A9790-8DEE-B9A7-A8FA-1AD41596F8B8}"/>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3477874" y="1752600"/>
              <a:ext cx="3914775" cy="2257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114300</xdr:colOff>
      <xdr:row>3</xdr:row>
      <xdr:rowOff>3495675</xdr:rowOff>
    </xdr:from>
    <xdr:to>
      <xdr:col>19</xdr:col>
      <xdr:colOff>885824</xdr:colOff>
      <xdr:row>5</xdr:row>
      <xdr:rowOff>180975</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7DEC6307-3171-B632-32BB-B2833879577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611225" y="4067175"/>
              <a:ext cx="3152774" cy="2076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1190625</xdr:colOff>
      <xdr:row>0</xdr:row>
      <xdr:rowOff>66676</xdr:rowOff>
    </xdr:from>
    <xdr:to>
      <xdr:col>20</xdr:col>
      <xdr:colOff>19050</xdr:colOff>
      <xdr:row>3</xdr:row>
      <xdr:rowOff>962026</xdr:rowOff>
    </xdr:to>
    <mc:AlternateContent xmlns:mc="http://schemas.openxmlformats.org/markup-compatibility/2006" xmlns:a14="http://schemas.microsoft.com/office/drawing/2010/main">
      <mc:Choice Requires="a14">
        <xdr:graphicFrame macro="">
          <xdr:nvGraphicFramePr>
            <xdr:cNvPr id="10" name="Day">
              <a:extLst>
                <a:ext uri="{FF2B5EF4-FFF2-40B4-BE49-F238E27FC236}">
                  <a16:creationId xmlns:a16="http://schemas.microsoft.com/office/drawing/2014/main" id="{1284FC61-391D-B14F-A15E-36AD787E0E6C}"/>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2334875" y="66676"/>
              <a:ext cx="50673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581025</xdr:colOff>
      <xdr:row>8</xdr:row>
      <xdr:rowOff>38100</xdr:rowOff>
    </xdr:from>
    <xdr:to>
      <xdr:col>14</xdr:col>
      <xdr:colOff>85725</xdr:colOff>
      <xdr:row>23</xdr:row>
      <xdr:rowOff>19050</xdr:rowOff>
    </xdr:to>
    <xdr:sp macro="" textlink="">
      <xdr:nvSpPr>
        <xdr:cNvPr id="2" name="Rectangle: Rounded Corners 1">
          <a:extLst>
            <a:ext uri="{FF2B5EF4-FFF2-40B4-BE49-F238E27FC236}">
              <a16:creationId xmlns:a16="http://schemas.microsoft.com/office/drawing/2014/main" id="{360DF671-73A9-B7E5-FB09-29FE8B5FB854}"/>
            </a:ext>
          </a:extLst>
        </xdr:cNvPr>
        <xdr:cNvSpPr/>
      </xdr:nvSpPr>
      <xdr:spPr>
        <a:xfrm>
          <a:off x="2409825" y="1562100"/>
          <a:ext cx="6210300" cy="283845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161925</xdr:colOff>
      <xdr:row>8</xdr:row>
      <xdr:rowOff>57150</xdr:rowOff>
    </xdr:from>
    <xdr:to>
      <xdr:col>24</xdr:col>
      <xdr:colOff>276225</xdr:colOff>
      <xdr:row>23</xdr:row>
      <xdr:rowOff>38100</xdr:rowOff>
    </xdr:to>
    <xdr:sp macro="" textlink="">
      <xdr:nvSpPr>
        <xdr:cNvPr id="3" name="Rectangle: Rounded Corners 2">
          <a:extLst>
            <a:ext uri="{FF2B5EF4-FFF2-40B4-BE49-F238E27FC236}">
              <a16:creationId xmlns:a16="http://schemas.microsoft.com/office/drawing/2014/main" id="{0075C08F-9A05-4743-B8EE-913241FD805F}"/>
            </a:ext>
          </a:extLst>
        </xdr:cNvPr>
        <xdr:cNvSpPr/>
      </xdr:nvSpPr>
      <xdr:spPr>
        <a:xfrm>
          <a:off x="8696325" y="1581150"/>
          <a:ext cx="6210300" cy="2838450"/>
        </a:xfrm>
        <a:prstGeom prst="roundRect">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209550</xdr:colOff>
      <xdr:row>25</xdr:row>
      <xdr:rowOff>28575</xdr:rowOff>
    </xdr:from>
    <xdr:to>
      <xdr:col>24</xdr:col>
      <xdr:colOff>323850</xdr:colOff>
      <xdr:row>40</xdr:row>
      <xdr:rowOff>9525</xdr:rowOff>
    </xdr:to>
    <xdr:sp macro="" textlink="">
      <xdr:nvSpPr>
        <xdr:cNvPr id="5" name="Rectangle: Rounded Corners 4">
          <a:extLst>
            <a:ext uri="{FF2B5EF4-FFF2-40B4-BE49-F238E27FC236}">
              <a16:creationId xmlns:a16="http://schemas.microsoft.com/office/drawing/2014/main" id="{A828D2D0-1E17-46D9-B9D9-49AC6AB06DCF}"/>
            </a:ext>
          </a:extLst>
        </xdr:cNvPr>
        <xdr:cNvSpPr/>
      </xdr:nvSpPr>
      <xdr:spPr>
        <a:xfrm>
          <a:off x="8743950" y="4791075"/>
          <a:ext cx="6210300" cy="2838450"/>
        </a:xfrm>
        <a:prstGeom prst="roundRect">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600075</xdr:colOff>
      <xdr:row>25</xdr:row>
      <xdr:rowOff>28575</xdr:rowOff>
    </xdr:from>
    <xdr:to>
      <xdr:col>14</xdr:col>
      <xdr:colOff>104775</xdr:colOff>
      <xdr:row>40</xdr:row>
      <xdr:rowOff>9525</xdr:rowOff>
    </xdr:to>
    <xdr:sp macro="" textlink="">
      <xdr:nvSpPr>
        <xdr:cNvPr id="6" name="Rectangle: Rounded Corners 5">
          <a:extLst>
            <a:ext uri="{FF2B5EF4-FFF2-40B4-BE49-F238E27FC236}">
              <a16:creationId xmlns:a16="http://schemas.microsoft.com/office/drawing/2014/main" id="{A44FD132-60CF-4C3A-900E-9D3122C76276}"/>
            </a:ext>
          </a:extLst>
        </xdr:cNvPr>
        <xdr:cNvSpPr/>
      </xdr:nvSpPr>
      <xdr:spPr>
        <a:xfrm>
          <a:off x="2428875" y="4791075"/>
          <a:ext cx="6210300" cy="2838450"/>
        </a:xfrm>
        <a:prstGeom prst="roundRect">
          <a:avLst/>
        </a:prstGeom>
        <a:solidFill>
          <a:schemeClr val="bg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0</xdr:row>
      <xdr:rowOff>66675</xdr:rowOff>
    </xdr:from>
    <xdr:to>
      <xdr:col>3</xdr:col>
      <xdr:colOff>457201</xdr:colOff>
      <xdr:row>41</xdr:row>
      <xdr:rowOff>9525</xdr:rowOff>
    </xdr:to>
    <xdr:sp macro="" textlink="">
      <xdr:nvSpPr>
        <xdr:cNvPr id="8" name="Rectangle: Rounded Corners 7">
          <a:extLst>
            <a:ext uri="{FF2B5EF4-FFF2-40B4-BE49-F238E27FC236}">
              <a16:creationId xmlns:a16="http://schemas.microsoft.com/office/drawing/2014/main" id="{3308B5B3-FF80-4507-AEFF-A6041FA8BBC6}"/>
            </a:ext>
          </a:extLst>
        </xdr:cNvPr>
        <xdr:cNvSpPr/>
      </xdr:nvSpPr>
      <xdr:spPr>
        <a:xfrm>
          <a:off x="1" y="66675"/>
          <a:ext cx="2286000" cy="775335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371475</xdr:colOff>
      <xdr:row>8</xdr:row>
      <xdr:rowOff>57150</xdr:rowOff>
    </xdr:from>
    <xdr:to>
      <xdr:col>28</xdr:col>
      <xdr:colOff>9525</xdr:colOff>
      <xdr:row>23</xdr:row>
      <xdr:rowOff>114300</xdr:rowOff>
    </xdr:to>
    <xdr:sp macro="" textlink="">
      <xdr:nvSpPr>
        <xdr:cNvPr id="11" name="Rectangle: Rounded Corners 10">
          <a:extLst>
            <a:ext uri="{FF2B5EF4-FFF2-40B4-BE49-F238E27FC236}">
              <a16:creationId xmlns:a16="http://schemas.microsoft.com/office/drawing/2014/main" id="{0804B9BE-A006-4238-A3E5-54C6D07BEE95}"/>
            </a:ext>
          </a:extLst>
        </xdr:cNvPr>
        <xdr:cNvSpPr/>
      </xdr:nvSpPr>
      <xdr:spPr>
        <a:xfrm>
          <a:off x="15001875" y="1581150"/>
          <a:ext cx="2076450" cy="291465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1">
              <a:solidFill>
                <a:schemeClr val="tx1"/>
              </a:solidFill>
            </a:rPr>
            <a:t>Total_Revenue  </a:t>
          </a:r>
          <a:r>
            <a:rPr lang="en-US" sz="2800" b="1" i="1" u="none" strike="noStrike">
              <a:solidFill>
                <a:schemeClr val="tx1"/>
              </a:solidFill>
              <a:effectLst/>
              <a:latin typeface="+mn-lt"/>
              <a:ea typeface="+mn-ea"/>
              <a:cs typeface="+mn-cs"/>
            </a:rPr>
            <a:t>1568500</a:t>
          </a:r>
          <a:r>
            <a:rPr lang="en-US" sz="6600" b="1" i="1">
              <a:solidFill>
                <a:schemeClr val="tx1"/>
              </a:solidFill>
              <a:effectLst/>
            </a:rPr>
            <a:t> </a:t>
          </a:r>
          <a:endParaRPr lang="en-US" sz="4400" b="1" i="1">
            <a:solidFill>
              <a:schemeClr val="tx1"/>
            </a:solidFill>
          </a:endParaRPr>
        </a:p>
      </xdr:txBody>
    </xdr:sp>
    <xdr:clientData/>
  </xdr:twoCellAnchor>
  <xdr:twoCellAnchor>
    <xdr:from>
      <xdr:col>24</xdr:col>
      <xdr:colOff>438151</xdr:colOff>
      <xdr:row>24</xdr:row>
      <xdr:rowOff>57150</xdr:rowOff>
    </xdr:from>
    <xdr:to>
      <xdr:col>28</xdr:col>
      <xdr:colOff>66675</xdr:colOff>
      <xdr:row>39</xdr:row>
      <xdr:rowOff>133350</xdr:rowOff>
    </xdr:to>
    <xdr:sp macro="" textlink="">
      <xdr:nvSpPr>
        <xdr:cNvPr id="14" name="Rectangle: Rounded Corners 13">
          <a:extLst>
            <a:ext uri="{FF2B5EF4-FFF2-40B4-BE49-F238E27FC236}">
              <a16:creationId xmlns:a16="http://schemas.microsoft.com/office/drawing/2014/main" id="{577ED339-3148-4644-82A7-F1C702197893}"/>
            </a:ext>
          </a:extLst>
        </xdr:cNvPr>
        <xdr:cNvSpPr/>
      </xdr:nvSpPr>
      <xdr:spPr>
        <a:xfrm>
          <a:off x="15068551" y="4629150"/>
          <a:ext cx="2066924" cy="29337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1">
              <a:solidFill>
                <a:schemeClr val="tx1"/>
              </a:solidFill>
            </a:rPr>
            <a:t>Total_Quantity</a:t>
          </a:r>
          <a:endParaRPr lang="en-US" sz="1100" b="0" i="0" u="none" strike="noStrike">
            <a:solidFill>
              <a:schemeClr val="lt1"/>
            </a:solidFill>
            <a:effectLst/>
            <a:latin typeface="+mn-lt"/>
            <a:ea typeface="+mn-ea"/>
            <a:cs typeface="+mn-cs"/>
          </a:endParaRPr>
        </a:p>
        <a:p>
          <a:pPr algn="l"/>
          <a:endParaRPr lang="en-US" sz="1100" b="0" i="0" u="none" strike="noStrike">
            <a:solidFill>
              <a:schemeClr val="lt1"/>
            </a:solidFill>
            <a:effectLst/>
            <a:latin typeface="+mn-lt"/>
            <a:ea typeface="+mn-ea"/>
            <a:cs typeface="+mn-cs"/>
          </a:endParaRPr>
        </a:p>
        <a:p>
          <a:pPr algn="l"/>
          <a:endParaRPr lang="en-US" sz="1100" b="0" i="0" u="none" strike="noStrike">
            <a:solidFill>
              <a:schemeClr val="lt1"/>
            </a:solidFill>
            <a:effectLst/>
            <a:latin typeface="+mn-lt"/>
            <a:ea typeface="+mn-ea"/>
            <a:cs typeface="+mn-cs"/>
          </a:endParaRPr>
        </a:p>
        <a:p>
          <a:pPr algn="l"/>
          <a:endParaRPr lang="en-US" sz="1100" b="0" i="0" u="none" strike="noStrike">
            <a:solidFill>
              <a:schemeClr val="lt1"/>
            </a:solidFill>
            <a:effectLst/>
            <a:latin typeface="+mn-lt"/>
            <a:ea typeface="+mn-ea"/>
            <a:cs typeface="+mn-cs"/>
          </a:endParaRPr>
        </a:p>
        <a:p>
          <a:pPr algn="ctr"/>
          <a:r>
            <a:rPr lang="en-US" sz="4800" b="1" i="1" u="none" strike="noStrike">
              <a:solidFill>
                <a:schemeClr val="tx1"/>
              </a:solidFill>
              <a:effectLst/>
              <a:latin typeface="+mn-lt"/>
              <a:ea typeface="+mn-ea"/>
              <a:cs typeface="+mn-cs"/>
            </a:rPr>
            <a:t>46</a:t>
          </a:r>
          <a:endParaRPr lang="en-US" sz="8000" b="1" i="1" u="none" strike="noStrike">
            <a:solidFill>
              <a:schemeClr val="tx1"/>
            </a:solidFill>
            <a:effectLst/>
            <a:latin typeface="+mn-lt"/>
            <a:ea typeface="+mn-ea"/>
            <a:cs typeface="+mn-cs"/>
          </a:endParaRPr>
        </a:p>
        <a:p>
          <a:pPr algn="l"/>
          <a:endParaRPr lang="en-US" sz="2000" b="0" i="0" u="none" strike="noStrike">
            <a:solidFill>
              <a:schemeClr val="lt1"/>
            </a:solidFill>
            <a:effectLst/>
            <a:latin typeface="+mn-lt"/>
            <a:ea typeface="+mn-ea"/>
            <a:cs typeface="+mn-cs"/>
          </a:endParaRPr>
        </a:p>
        <a:p>
          <a:pPr algn="l"/>
          <a:endParaRPr lang="en-US" sz="2000" b="0" i="0" u="none" strike="noStrike">
            <a:solidFill>
              <a:schemeClr val="lt1"/>
            </a:solidFill>
            <a:effectLst/>
            <a:latin typeface="+mn-lt"/>
            <a:ea typeface="+mn-ea"/>
            <a:cs typeface="+mn-cs"/>
          </a:endParaRPr>
        </a:p>
        <a:p>
          <a:pPr algn="l"/>
          <a:endParaRPr lang="en-US" sz="2000" b="0" i="0" u="none" strike="noStrike">
            <a:solidFill>
              <a:schemeClr val="lt1"/>
            </a:solidFill>
            <a:effectLst/>
            <a:latin typeface="+mn-lt"/>
            <a:ea typeface="+mn-ea"/>
            <a:cs typeface="+mn-cs"/>
          </a:endParaRPr>
        </a:p>
        <a:p>
          <a:pPr algn="l"/>
          <a:endParaRPr lang="en-US" sz="2000" b="1" i="1">
            <a:solidFill>
              <a:schemeClr val="tx1"/>
            </a:solidFill>
          </a:endParaRPr>
        </a:p>
      </xdr:txBody>
    </xdr:sp>
    <xdr:clientData/>
  </xdr:twoCellAnchor>
  <xdr:twoCellAnchor>
    <xdr:from>
      <xdr:col>14</xdr:col>
      <xdr:colOff>485775</xdr:colOff>
      <xdr:row>25</xdr:row>
      <xdr:rowOff>66675</xdr:rowOff>
    </xdr:from>
    <xdr:to>
      <xdr:col>24</xdr:col>
      <xdr:colOff>76200</xdr:colOff>
      <xdr:row>39</xdr:row>
      <xdr:rowOff>142875</xdr:rowOff>
    </xdr:to>
    <xdr:graphicFrame macro="">
      <xdr:nvGraphicFramePr>
        <xdr:cNvPr id="16" name="Chart 15">
          <a:extLst>
            <a:ext uri="{FF2B5EF4-FFF2-40B4-BE49-F238E27FC236}">
              <a16:creationId xmlns:a16="http://schemas.microsoft.com/office/drawing/2014/main" id="{76BEADC0-B28A-4E89-9476-A264CE4F3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228599</xdr:colOff>
      <xdr:row>8</xdr:row>
      <xdr:rowOff>76200</xdr:rowOff>
    </xdr:from>
    <xdr:to>
      <xdr:col>13</xdr:col>
      <xdr:colOff>409574</xdr:colOff>
      <xdr:row>22</xdr:row>
      <xdr:rowOff>152400</xdr:rowOff>
    </xdr:to>
    <xdr:graphicFrame macro="">
      <xdr:nvGraphicFramePr>
        <xdr:cNvPr id="17" name="Chart 16">
          <a:extLst>
            <a:ext uri="{FF2B5EF4-FFF2-40B4-BE49-F238E27FC236}">
              <a16:creationId xmlns:a16="http://schemas.microsoft.com/office/drawing/2014/main" id="{16BDE0B4-41D3-4F7C-A679-1E5175F40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266700</xdr:colOff>
      <xdr:row>25</xdr:row>
      <xdr:rowOff>66675</xdr:rowOff>
    </xdr:from>
    <xdr:to>
      <xdr:col>13</xdr:col>
      <xdr:colOff>438150</xdr:colOff>
      <xdr:row>39</xdr:row>
      <xdr:rowOff>142875</xdr:rowOff>
    </xdr:to>
    <xdr:graphicFrame macro="">
      <xdr:nvGraphicFramePr>
        <xdr:cNvPr id="19" name="Chart 18">
          <a:extLst>
            <a:ext uri="{FF2B5EF4-FFF2-40B4-BE49-F238E27FC236}">
              <a16:creationId xmlns:a16="http://schemas.microsoft.com/office/drawing/2014/main" id="{80DFA989-C2E0-4826-997E-88F609540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438151</xdr:colOff>
      <xdr:row>8</xdr:row>
      <xdr:rowOff>161925</xdr:rowOff>
    </xdr:from>
    <xdr:to>
      <xdr:col>24</xdr:col>
      <xdr:colOff>19051</xdr:colOff>
      <xdr:row>22</xdr:row>
      <xdr:rowOff>180975</xdr:rowOff>
    </xdr:to>
    <xdr:graphicFrame macro="">
      <xdr:nvGraphicFramePr>
        <xdr:cNvPr id="21" name="Chart 20">
          <a:extLst>
            <a:ext uri="{FF2B5EF4-FFF2-40B4-BE49-F238E27FC236}">
              <a16:creationId xmlns:a16="http://schemas.microsoft.com/office/drawing/2014/main" id="{2EB90567-DE49-4EB4-B8F6-F06869B30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114300</xdr:colOff>
      <xdr:row>1</xdr:row>
      <xdr:rowOff>57150</xdr:rowOff>
    </xdr:from>
    <xdr:to>
      <xdr:col>3</xdr:col>
      <xdr:colOff>390524</xdr:colOff>
      <xdr:row>14</xdr:row>
      <xdr:rowOff>114300</xdr:rowOff>
    </xdr:to>
    <mc:AlternateContent xmlns:mc="http://schemas.openxmlformats.org/markup-compatibility/2006" xmlns:a14="http://schemas.microsoft.com/office/drawing/2010/main">
      <mc:Choice Requires="a14">
        <xdr:graphicFrame macro="">
          <xdr:nvGraphicFramePr>
            <xdr:cNvPr id="22" name="Customer_name 2">
              <a:extLst>
                <a:ext uri="{FF2B5EF4-FFF2-40B4-BE49-F238E27FC236}">
                  <a16:creationId xmlns:a16="http://schemas.microsoft.com/office/drawing/2014/main" id="{C9A7DE74-C678-F5BC-EAE7-0DA77879FE15}"/>
                </a:ext>
              </a:extLst>
            </xdr:cNvPr>
            <xdr:cNvGraphicFramePr/>
          </xdr:nvGraphicFramePr>
          <xdr:xfrm>
            <a:off x="0" y="0"/>
            <a:ext cx="0" cy="0"/>
          </xdr:xfrm>
          <a:graphic>
            <a:graphicData uri="http://schemas.microsoft.com/office/drawing/2010/slicer">
              <sle:slicer xmlns:sle="http://schemas.microsoft.com/office/drawing/2010/slicer" name="Customer_name 2"/>
            </a:graphicData>
          </a:graphic>
        </xdr:graphicFrame>
      </mc:Choice>
      <mc:Fallback xmlns="">
        <xdr:sp macro="" textlink="">
          <xdr:nvSpPr>
            <xdr:cNvPr id="0" name=""/>
            <xdr:cNvSpPr>
              <a:spLocks noTextEdit="1"/>
            </xdr:cNvSpPr>
          </xdr:nvSpPr>
          <xdr:spPr>
            <a:xfrm>
              <a:off x="114300" y="247650"/>
              <a:ext cx="2105024" cy="2533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14</xdr:row>
      <xdr:rowOff>104775</xdr:rowOff>
    </xdr:from>
    <xdr:to>
      <xdr:col>3</xdr:col>
      <xdr:colOff>371475</xdr:colOff>
      <xdr:row>23</xdr:row>
      <xdr:rowOff>57150</xdr:rowOff>
    </xdr:to>
    <mc:AlternateContent xmlns:mc="http://schemas.openxmlformats.org/markup-compatibility/2006" xmlns:a14="http://schemas.microsoft.com/office/drawing/2010/main">
      <mc:Choice Requires="a14">
        <xdr:graphicFrame macro="">
          <xdr:nvGraphicFramePr>
            <xdr:cNvPr id="23" name="country 2">
              <a:extLst>
                <a:ext uri="{FF2B5EF4-FFF2-40B4-BE49-F238E27FC236}">
                  <a16:creationId xmlns:a16="http://schemas.microsoft.com/office/drawing/2014/main" id="{57932E59-77FB-E951-9E78-1CA0B0447CB3}"/>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66675" y="2771775"/>
              <a:ext cx="2133600"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23</xdr:row>
      <xdr:rowOff>47626</xdr:rowOff>
    </xdr:from>
    <xdr:to>
      <xdr:col>3</xdr:col>
      <xdr:colOff>352425</xdr:colOff>
      <xdr:row>34</xdr:row>
      <xdr:rowOff>104776</xdr:rowOff>
    </xdr:to>
    <mc:AlternateContent xmlns:mc="http://schemas.openxmlformats.org/markup-compatibility/2006" xmlns:a14="http://schemas.microsoft.com/office/drawing/2010/main">
      <mc:Choice Requires="a14">
        <xdr:graphicFrame macro="">
          <xdr:nvGraphicFramePr>
            <xdr:cNvPr id="24" name="product_name,">
              <a:extLst>
                <a:ext uri="{FF2B5EF4-FFF2-40B4-BE49-F238E27FC236}">
                  <a16:creationId xmlns:a16="http://schemas.microsoft.com/office/drawing/2014/main" id="{96EC0A94-2641-FB95-B8E1-68EEA134E473}"/>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66675" y="4429126"/>
              <a:ext cx="2114550" cy="2152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34</xdr:row>
      <xdr:rowOff>104775</xdr:rowOff>
    </xdr:from>
    <xdr:to>
      <xdr:col>3</xdr:col>
      <xdr:colOff>352425</xdr:colOff>
      <xdr:row>40</xdr:row>
      <xdr:rowOff>9525</xdr:rowOff>
    </xdr:to>
    <mc:AlternateContent xmlns:mc="http://schemas.openxmlformats.org/markup-compatibility/2006" xmlns:a14="http://schemas.microsoft.com/office/drawing/2010/main">
      <mc:Choice Requires="a14">
        <xdr:graphicFrame macro="">
          <xdr:nvGraphicFramePr>
            <xdr:cNvPr id="25" name="Months (order_date)">
              <a:extLst>
                <a:ext uri="{FF2B5EF4-FFF2-40B4-BE49-F238E27FC236}">
                  <a16:creationId xmlns:a16="http://schemas.microsoft.com/office/drawing/2014/main" id="{B39D9018-6804-E54F-81A4-7E73C2CA1792}"/>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66675" y="6581775"/>
              <a:ext cx="2114550"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0</xdr:colOff>
      <xdr:row>40</xdr:row>
      <xdr:rowOff>0</xdr:rowOff>
    </xdr:from>
    <xdr:to>
      <xdr:col>16</xdr:col>
      <xdr:colOff>57150</xdr:colOff>
      <xdr:row>43</xdr:row>
      <xdr:rowOff>0</xdr:rowOff>
    </xdr:to>
    <xdr:sp macro="" textlink="">
      <xdr:nvSpPr>
        <xdr:cNvPr id="19457" name="Text Box 1">
          <a:extLst>
            <a:ext uri="{FF2B5EF4-FFF2-40B4-BE49-F238E27FC236}">
              <a16:creationId xmlns:a16="http://schemas.microsoft.com/office/drawing/2014/main" id="{A591C901-5D54-0195-5055-B31EB2C21A90}"/>
            </a:ext>
          </a:extLst>
        </xdr:cNvPr>
        <xdr:cNvSpPr txBox="1">
          <a:spLocks noChangeArrowheads="1"/>
        </xdr:cNvSpPr>
      </xdr:nvSpPr>
      <xdr:spPr bwMode="auto">
        <a:xfrm>
          <a:off x="9144000" y="7620000"/>
          <a:ext cx="666750" cy="5715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US" sz="1100" b="0" i="0" u="none" strike="noStrike" baseline="0">
              <a:solidFill>
                <a:srgbClr val="000000"/>
              </a:solidFill>
              <a:latin typeface="Calibri"/>
              <a:cs typeface="Calibri"/>
            </a:rPr>
            <a:t>Sales &amp; Revenue Analysis</a:t>
          </a:r>
        </a:p>
      </xdr:txBody>
    </xdr:sp>
    <xdr:clientData/>
  </xdr:twoCellAnchor>
  <xdr:twoCellAnchor>
    <xdr:from>
      <xdr:col>15</xdr:col>
      <xdr:colOff>0</xdr:colOff>
      <xdr:row>42</xdr:row>
      <xdr:rowOff>190499</xdr:rowOff>
    </xdr:from>
    <xdr:to>
      <xdr:col>16</xdr:col>
      <xdr:colOff>57150</xdr:colOff>
      <xdr:row>43</xdr:row>
      <xdr:rowOff>45718</xdr:rowOff>
    </xdr:to>
    <xdr:sp macro="" textlink="">
      <xdr:nvSpPr>
        <xdr:cNvPr id="19458" name="Text Box 2">
          <a:extLst>
            <a:ext uri="{FF2B5EF4-FFF2-40B4-BE49-F238E27FC236}">
              <a16:creationId xmlns:a16="http://schemas.microsoft.com/office/drawing/2014/main" id="{C23D0FD5-B236-5304-7D32-0ECE6C5E5D1A}"/>
            </a:ext>
          </a:extLst>
        </xdr:cNvPr>
        <xdr:cNvSpPr txBox="1">
          <a:spLocks noChangeArrowheads="1"/>
        </xdr:cNvSpPr>
      </xdr:nvSpPr>
      <xdr:spPr bwMode="auto">
        <a:xfrm flipV="1">
          <a:off x="9144000" y="8191499"/>
          <a:ext cx="666750" cy="45719"/>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US" sz="1100" b="0" i="0" u="none" strike="noStrike" baseline="0">
            <a:solidFill>
              <a:srgbClr val="000000"/>
            </a:solidFill>
            <a:latin typeface="Calibri"/>
            <a:cs typeface="Calibri"/>
          </a:endParaRPr>
        </a:p>
      </xdr:txBody>
    </xdr:sp>
    <xdr:clientData/>
  </xdr:twoCellAnchor>
  <xdr:twoCellAnchor>
    <xdr:from>
      <xdr:col>3</xdr:col>
      <xdr:colOff>447675</xdr:colOff>
      <xdr:row>0</xdr:row>
      <xdr:rowOff>38100</xdr:rowOff>
    </xdr:from>
    <xdr:to>
      <xdr:col>28</xdr:col>
      <xdr:colOff>133350</xdr:colOff>
      <xdr:row>7</xdr:row>
      <xdr:rowOff>142875</xdr:rowOff>
    </xdr:to>
    <xdr:sp macro="" textlink="">
      <xdr:nvSpPr>
        <xdr:cNvPr id="26" name="Rectangle: Rounded Corners 25">
          <a:extLst>
            <a:ext uri="{FF2B5EF4-FFF2-40B4-BE49-F238E27FC236}">
              <a16:creationId xmlns:a16="http://schemas.microsoft.com/office/drawing/2014/main" id="{77E8C0D1-4354-4623-B420-C1EAB1C39F7A}"/>
            </a:ext>
          </a:extLst>
        </xdr:cNvPr>
        <xdr:cNvSpPr/>
      </xdr:nvSpPr>
      <xdr:spPr>
        <a:xfrm>
          <a:off x="2276475" y="38100"/>
          <a:ext cx="14925675" cy="143827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1">
              <a:solidFill>
                <a:schemeClr val="tx1"/>
              </a:solidFill>
              <a:effectLst/>
            </a:rPr>
            <a:t>Sales</a:t>
          </a:r>
          <a:r>
            <a:rPr lang="en-US" sz="2800" b="1" i="1" baseline="0">
              <a:solidFill>
                <a:schemeClr val="tx1"/>
              </a:solidFill>
              <a:effectLst/>
            </a:rPr>
            <a:t> &amp; Revenue Analysis</a:t>
          </a:r>
          <a:r>
            <a:rPr lang="en-US" sz="8000" b="1" i="1">
              <a:solidFill>
                <a:schemeClr val="tx1"/>
              </a:solidFill>
              <a:effectLst/>
            </a:rPr>
            <a:t> </a:t>
          </a:r>
          <a:endParaRPr lang="en-US" sz="5400" b="1" i="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28574</xdr:colOff>
      <xdr:row>16</xdr:row>
      <xdr:rowOff>47625</xdr:rowOff>
    </xdr:to>
    <xdr:sp macro="" textlink="">
      <xdr:nvSpPr>
        <xdr:cNvPr id="2" name="Rectangle: Rounded Corners 1">
          <a:extLst>
            <a:ext uri="{FF2B5EF4-FFF2-40B4-BE49-F238E27FC236}">
              <a16:creationId xmlns:a16="http://schemas.microsoft.com/office/drawing/2014/main" id="{BD04625C-6700-7D7D-4717-7D9573B1C40A}"/>
            </a:ext>
          </a:extLst>
        </xdr:cNvPr>
        <xdr:cNvSpPr/>
      </xdr:nvSpPr>
      <xdr:spPr>
        <a:xfrm>
          <a:off x="0" y="0"/>
          <a:ext cx="7953374" cy="3095625"/>
        </a:xfrm>
        <a:prstGeom prst="roundRect">
          <a:avLst/>
        </a:prstGeom>
        <a:solidFill>
          <a:schemeClr val="accent1">
            <a:lumMod val="60000"/>
            <a:lumOff val="4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17</xdr:row>
      <xdr:rowOff>9525</xdr:rowOff>
    </xdr:from>
    <xdr:to>
      <xdr:col>14</xdr:col>
      <xdr:colOff>295274</xdr:colOff>
      <xdr:row>38</xdr:row>
      <xdr:rowOff>19050</xdr:rowOff>
    </xdr:to>
    <xdr:sp macro="" textlink="">
      <xdr:nvSpPr>
        <xdr:cNvPr id="3" name="Rectangle: Rounded Corners 2">
          <a:extLst>
            <a:ext uri="{FF2B5EF4-FFF2-40B4-BE49-F238E27FC236}">
              <a16:creationId xmlns:a16="http://schemas.microsoft.com/office/drawing/2014/main" id="{940B286D-72DC-41CE-86A7-8999823E33D0}"/>
            </a:ext>
          </a:extLst>
        </xdr:cNvPr>
        <xdr:cNvSpPr/>
      </xdr:nvSpPr>
      <xdr:spPr>
        <a:xfrm>
          <a:off x="0" y="3248025"/>
          <a:ext cx="8829674" cy="4010025"/>
        </a:xfrm>
        <a:prstGeom prst="roundRect">
          <a:avLst/>
        </a:prstGeom>
        <a:solidFill>
          <a:schemeClr val="accent1">
            <a:lumMod val="60000"/>
            <a:lumOff val="4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400050</xdr:colOff>
      <xdr:row>17</xdr:row>
      <xdr:rowOff>9526</xdr:rowOff>
    </xdr:from>
    <xdr:to>
      <xdr:col>27</xdr:col>
      <xdr:colOff>361950</xdr:colOff>
      <xdr:row>38</xdr:row>
      <xdr:rowOff>19050</xdr:rowOff>
    </xdr:to>
    <xdr:sp macro="" textlink="">
      <xdr:nvSpPr>
        <xdr:cNvPr id="5" name="Rectangle: Rounded Corners 4">
          <a:extLst>
            <a:ext uri="{FF2B5EF4-FFF2-40B4-BE49-F238E27FC236}">
              <a16:creationId xmlns:a16="http://schemas.microsoft.com/office/drawing/2014/main" id="{75E5F718-6A91-4DCE-BCB5-68A4F439D575}"/>
            </a:ext>
          </a:extLst>
        </xdr:cNvPr>
        <xdr:cNvSpPr/>
      </xdr:nvSpPr>
      <xdr:spPr>
        <a:xfrm>
          <a:off x="8934450" y="3248026"/>
          <a:ext cx="7886700" cy="4010024"/>
        </a:xfrm>
        <a:prstGeom prst="roundRect">
          <a:avLst/>
        </a:prstGeom>
        <a:solidFill>
          <a:schemeClr val="accent1">
            <a:lumMod val="60000"/>
            <a:lumOff val="4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304799</xdr:colOff>
      <xdr:row>0</xdr:row>
      <xdr:rowOff>38101</xdr:rowOff>
    </xdr:from>
    <xdr:to>
      <xdr:col>28</xdr:col>
      <xdr:colOff>9524</xdr:colOff>
      <xdr:row>16</xdr:row>
      <xdr:rowOff>133351</xdr:rowOff>
    </xdr:to>
    <xdr:sp macro="" textlink="">
      <xdr:nvSpPr>
        <xdr:cNvPr id="6" name="Rectangle: Rounded Corners 5">
          <a:extLst>
            <a:ext uri="{FF2B5EF4-FFF2-40B4-BE49-F238E27FC236}">
              <a16:creationId xmlns:a16="http://schemas.microsoft.com/office/drawing/2014/main" id="{5BE919F9-95B0-B006-4FDF-AE0713B7B1D6}"/>
            </a:ext>
          </a:extLst>
        </xdr:cNvPr>
        <xdr:cNvSpPr/>
      </xdr:nvSpPr>
      <xdr:spPr>
        <a:xfrm>
          <a:off x="14935199" y="38101"/>
          <a:ext cx="2143125" cy="3143250"/>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466725</xdr:colOff>
      <xdr:row>0</xdr:row>
      <xdr:rowOff>19050</xdr:rowOff>
    </xdr:from>
    <xdr:to>
      <xdr:col>24</xdr:col>
      <xdr:colOff>171450</xdr:colOff>
      <xdr:row>16</xdr:row>
      <xdr:rowOff>114300</xdr:rowOff>
    </xdr:to>
    <xdr:sp macro="" textlink="">
      <xdr:nvSpPr>
        <xdr:cNvPr id="7" name="Rectangle: Rounded Corners 6">
          <a:extLst>
            <a:ext uri="{FF2B5EF4-FFF2-40B4-BE49-F238E27FC236}">
              <a16:creationId xmlns:a16="http://schemas.microsoft.com/office/drawing/2014/main" id="{CA735A95-5A60-41B1-A7DC-CA2E50B6AA67}"/>
            </a:ext>
          </a:extLst>
        </xdr:cNvPr>
        <xdr:cNvSpPr/>
      </xdr:nvSpPr>
      <xdr:spPr>
        <a:xfrm>
          <a:off x="12658725" y="19050"/>
          <a:ext cx="2143125" cy="3143250"/>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76200</xdr:colOff>
      <xdr:row>0</xdr:row>
      <xdr:rowOff>9525</xdr:rowOff>
    </xdr:from>
    <xdr:to>
      <xdr:col>20</xdr:col>
      <xdr:colOff>390525</xdr:colOff>
      <xdr:row>16</xdr:row>
      <xdr:rowOff>104775</xdr:rowOff>
    </xdr:to>
    <xdr:sp macro="" textlink="">
      <xdr:nvSpPr>
        <xdr:cNvPr id="8" name="Rectangle: Rounded Corners 7">
          <a:extLst>
            <a:ext uri="{FF2B5EF4-FFF2-40B4-BE49-F238E27FC236}">
              <a16:creationId xmlns:a16="http://schemas.microsoft.com/office/drawing/2014/main" id="{7F144A8C-9F19-41A9-AC4B-DFAD853FA258}"/>
            </a:ext>
          </a:extLst>
        </xdr:cNvPr>
        <xdr:cNvSpPr/>
      </xdr:nvSpPr>
      <xdr:spPr>
        <a:xfrm>
          <a:off x="10439400" y="9525"/>
          <a:ext cx="2143125" cy="3143250"/>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276225</xdr:colOff>
      <xdr:row>18</xdr:row>
      <xdr:rowOff>66675</xdr:rowOff>
    </xdr:from>
    <xdr:to>
      <xdr:col>14</xdr:col>
      <xdr:colOff>9525</xdr:colOff>
      <xdr:row>37</xdr:row>
      <xdr:rowOff>57150</xdr:rowOff>
    </xdr:to>
    <xdr:graphicFrame macro="">
      <xdr:nvGraphicFramePr>
        <xdr:cNvPr id="10" name="Chart 9">
          <a:extLst>
            <a:ext uri="{FF2B5EF4-FFF2-40B4-BE49-F238E27FC236}">
              <a16:creationId xmlns:a16="http://schemas.microsoft.com/office/drawing/2014/main" id="{DE509754-FE33-42E0-BAA9-FDCFA852F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161924</xdr:colOff>
      <xdr:row>17</xdr:row>
      <xdr:rowOff>142874</xdr:rowOff>
    </xdr:from>
    <xdr:to>
      <xdr:col>27</xdr:col>
      <xdr:colOff>95249</xdr:colOff>
      <xdr:row>37</xdr:row>
      <xdr:rowOff>152399</xdr:rowOff>
    </xdr:to>
    <xdr:graphicFrame macro="">
      <xdr:nvGraphicFramePr>
        <xdr:cNvPr id="12" name="Chart 11">
          <a:extLst>
            <a:ext uri="{FF2B5EF4-FFF2-40B4-BE49-F238E27FC236}">
              <a16:creationId xmlns:a16="http://schemas.microsoft.com/office/drawing/2014/main" id="{70B6A4FC-E4A4-4D21-8FD5-B59B8906F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190500</xdr:colOff>
      <xdr:row>0</xdr:row>
      <xdr:rowOff>161925</xdr:rowOff>
    </xdr:from>
    <xdr:to>
      <xdr:col>12</xdr:col>
      <xdr:colOff>476250</xdr:colOff>
      <xdr:row>14</xdr:row>
      <xdr:rowOff>161925</xdr:rowOff>
    </xdr:to>
    <xdr:graphicFrame macro="">
      <xdr:nvGraphicFramePr>
        <xdr:cNvPr id="14" name="Chart 13">
          <a:extLst>
            <a:ext uri="{FF2B5EF4-FFF2-40B4-BE49-F238E27FC236}">
              <a16:creationId xmlns:a16="http://schemas.microsoft.com/office/drawing/2014/main" id="{63E138A0-E9FD-4332-BE71-F8DAD8FC0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476250</xdr:colOff>
      <xdr:row>0</xdr:row>
      <xdr:rowOff>114300</xdr:rowOff>
    </xdr:from>
    <xdr:to>
      <xdr:col>27</xdr:col>
      <xdr:colOff>476250</xdr:colOff>
      <xdr:row>16</xdr:row>
      <xdr:rowOff>38100</xdr:rowOff>
    </xdr:to>
    <mc:AlternateContent xmlns:mc="http://schemas.openxmlformats.org/markup-compatibility/2006" xmlns:a14="http://schemas.microsoft.com/office/drawing/2010/main">
      <mc:Choice Requires="a14">
        <xdr:graphicFrame macro="">
          <xdr:nvGraphicFramePr>
            <xdr:cNvPr id="15" name="txn_type">
              <a:extLst>
                <a:ext uri="{FF2B5EF4-FFF2-40B4-BE49-F238E27FC236}">
                  <a16:creationId xmlns:a16="http://schemas.microsoft.com/office/drawing/2014/main" id="{77437ECD-ADCA-FE22-9BC5-67521CE528C2}"/>
                </a:ext>
              </a:extLst>
            </xdr:cNvPr>
            <xdr:cNvGraphicFramePr/>
          </xdr:nvGraphicFramePr>
          <xdr:xfrm>
            <a:off x="0" y="0"/>
            <a:ext cx="0" cy="0"/>
          </xdr:xfrm>
          <a:graphic>
            <a:graphicData uri="http://schemas.microsoft.com/office/drawing/2010/slicer">
              <sle:slicer xmlns:sle="http://schemas.microsoft.com/office/drawing/2010/slicer" name="txn_type"/>
            </a:graphicData>
          </a:graphic>
        </xdr:graphicFrame>
      </mc:Choice>
      <mc:Fallback xmlns="">
        <xdr:sp macro="" textlink="">
          <xdr:nvSpPr>
            <xdr:cNvPr id="0" name=""/>
            <xdr:cNvSpPr>
              <a:spLocks noTextEdit="1"/>
            </xdr:cNvSpPr>
          </xdr:nvSpPr>
          <xdr:spPr>
            <a:xfrm>
              <a:off x="15106650" y="114300"/>
              <a:ext cx="1828800" cy="297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238125</xdr:colOff>
      <xdr:row>0</xdr:row>
      <xdr:rowOff>76200</xdr:rowOff>
    </xdr:from>
    <xdr:to>
      <xdr:col>20</xdr:col>
      <xdr:colOff>238125</xdr:colOff>
      <xdr:row>16</xdr:row>
      <xdr:rowOff>0</xdr:rowOff>
    </xdr:to>
    <mc:AlternateContent xmlns:mc="http://schemas.openxmlformats.org/markup-compatibility/2006" xmlns:a14="http://schemas.microsoft.com/office/drawing/2010/main">
      <mc:Choice Requires="a14">
        <xdr:graphicFrame macro="">
          <xdr:nvGraphicFramePr>
            <xdr:cNvPr id="16" name="txn_date">
              <a:extLst>
                <a:ext uri="{FF2B5EF4-FFF2-40B4-BE49-F238E27FC236}">
                  <a16:creationId xmlns:a16="http://schemas.microsoft.com/office/drawing/2014/main" id="{B58DE528-D260-B782-18B9-051195EFF92C}"/>
                </a:ext>
              </a:extLst>
            </xdr:cNvPr>
            <xdr:cNvGraphicFramePr/>
          </xdr:nvGraphicFramePr>
          <xdr:xfrm>
            <a:off x="0" y="0"/>
            <a:ext cx="0" cy="0"/>
          </xdr:xfrm>
          <a:graphic>
            <a:graphicData uri="http://schemas.microsoft.com/office/drawing/2010/slicer">
              <sle:slicer xmlns:sle="http://schemas.microsoft.com/office/drawing/2010/slicer" name="txn_date"/>
            </a:graphicData>
          </a:graphic>
        </xdr:graphicFrame>
      </mc:Choice>
      <mc:Fallback xmlns="">
        <xdr:sp macro="" textlink="">
          <xdr:nvSpPr>
            <xdr:cNvPr id="0" name=""/>
            <xdr:cNvSpPr>
              <a:spLocks noTextEdit="1"/>
            </xdr:cNvSpPr>
          </xdr:nvSpPr>
          <xdr:spPr>
            <a:xfrm>
              <a:off x="10601325" y="76200"/>
              <a:ext cx="1828800" cy="297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19050</xdr:colOff>
      <xdr:row>0</xdr:row>
      <xdr:rowOff>114300</xdr:rowOff>
    </xdr:from>
    <xdr:to>
      <xdr:col>24</xdr:col>
      <xdr:colOff>19050</xdr:colOff>
      <xdr:row>16</xdr:row>
      <xdr:rowOff>38100</xdr:rowOff>
    </xdr:to>
    <mc:AlternateContent xmlns:mc="http://schemas.openxmlformats.org/markup-compatibility/2006" xmlns:a14="http://schemas.microsoft.com/office/drawing/2010/main">
      <mc:Choice Requires="a14">
        <xdr:graphicFrame macro="">
          <xdr:nvGraphicFramePr>
            <xdr:cNvPr id="17" name="txn_id">
              <a:extLst>
                <a:ext uri="{FF2B5EF4-FFF2-40B4-BE49-F238E27FC236}">
                  <a16:creationId xmlns:a16="http://schemas.microsoft.com/office/drawing/2014/main" id="{857EB1D6-A8BC-8C5A-6B4D-4564EB1B96F8}"/>
                </a:ext>
              </a:extLst>
            </xdr:cNvPr>
            <xdr:cNvGraphicFramePr/>
          </xdr:nvGraphicFramePr>
          <xdr:xfrm>
            <a:off x="0" y="0"/>
            <a:ext cx="0" cy="0"/>
          </xdr:xfrm>
          <a:graphic>
            <a:graphicData uri="http://schemas.microsoft.com/office/drawing/2010/slicer">
              <sle:slicer xmlns:sle="http://schemas.microsoft.com/office/drawing/2010/slicer" name="txn_id"/>
            </a:graphicData>
          </a:graphic>
        </xdr:graphicFrame>
      </mc:Choice>
      <mc:Fallback xmlns="">
        <xdr:sp macro="" textlink="">
          <xdr:nvSpPr>
            <xdr:cNvPr id="0" name=""/>
            <xdr:cNvSpPr>
              <a:spLocks noTextEdit="1"/>
            </xdr:cNvSpPr>
          </xdr:nvSpPr>
          <xdr:spPr>
            <a:xfrm>
              <a:off x="12820650" y="114300"/>
              <a:ext cx="1828800" cy="297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13</xdr:col>
      <xdr:colOff>85725</xdr:colOff>
      <xdr:row>0</xdr:row>
      <xdr:rowOff>95251</xdr:rowOff>
    </xdr:from>
    <xdr:ext cx="2200275" cy="685800"/>
    <xdr:sp macro="" textlink="">
      <xdr:nvSpPr>
        <xdr:cNvPr id="18" name="TextBox 17">
          <a:extLst>
            <a:ext uri="{FF2B5EF4-FFF2-40B4-BE49-F238E27FC236}">
              <a16:creationId xmlns:a16="http://schemas.microsoft.com/office/drawing/2014/main" id="{B95F0626-5BF7-AE98-7534-70428997682D}"/>
            </a:ext>
          </a:extLst>
        </xdr:cNvPr>
        <xdr:cNvSpPr txBox="1"/>
      </xdr:nvSpPr>
      <xdr:spPr>
        <a:xfrm>
          <a:off x="8010525" y="95251"/>
          <a:ext cx="2200275" cy="6858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lvl="0" algn="ctr"/>
          <a:r>
            <a:rPr lang="en-US" sz="3200" b="1" i="1"/>
            <a:t>454000</a:t>
          </a:r>
          <a:r>
            <a:rPr lang="en-US" sz="3200"/>
            <a:t>    </a:t>
          </a:r>
          <a:r>
            <a:rPr lang="en-US" sz="1100"/>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180975</xdr:colOff>
      <xdr:row>7</xdr:row>
      <xdr:rowOff>47624</xdr:rowOff>
    </xdr:from>
    <xdr:to>
      <xdr:col>12</xdr:col>
      <xdr:colOff>285750</xdr:colOff>
      <xdr:row>22</xdr:row>
      <xdr:rowOff>171450</xdr:rowOff>
    </xdr:to>
    <xdr:sp macro="" textlink="">
      <xdr:nvSpPr>
        <xdr:cNvPr id="2" name="Rectangle: Rounded Corners 1">
          <a:extLst>
            <a:ext uri="{FF2B5EF4-FFF2-40B4-BE49-F238E27FC236}">
              <a16:creationId xmlns:a16="http://schemas.microsoft.com/office/drawing/2014/main" id="{324DF85E-34C2-4B11-12C5-ADECD87C0571}"/>
            </a:ext>
          </a:extLst>
        </xdr:cNvPr>
        <xdr:cNvSpPr/>
      </xdr:nvSpPr>
      <xdr:spPr>
        <a:xfrm>
          <a:off x="180975" y="1381124"/>
          <a:ext cx="7419975" cy="2981326"/>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104776</xdr:colOff>
      <xdr:row>23</xdr:row>
      <xdr:rowOff>19050</xdr:rowOff>
    </xdr:from>
    <xdr:to>
      <xdr:col>12</xdr:col>
      <xdr:colOff>561976</xdr:colOff>
      <xdr:row>41</xdr:row>
      <xdr:rowOff>66676</xdr:rowOff>
    </xdr:to>
    <xdr:sp macro="" textlink="">
      <xdr:nvSpPr>
        <xdr:cNvPr id="4" name="Rectangle: Rounded Corners 3">
          <a:extLst>
            <a:ext uri="{FF2B5EF4-FFF2-40B4-BE49-F238E27FC236}">
              <a16:creationId xmlns:a16="http://schemas.microsoft.com/office/drawing/2014/main" id="{2F65DC3B-6BFD-408C-8C1E-4A07B977F7CE}"/>
            </a:ext>
          </a:extLst>
        </xdr:cNvPr>
        <xdr:cNvSpPr/>
      </xdr:nvSpPr>
      <xdr:spPr>
        <a:xfrm>
          <a:off x="104776" y="4400550"/>
          <a:ext cx="7772400" cy="3476626"/>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590550</xdr:colOff>
      <xdr:row>20</xdr:row>
      <xdr:rowOff>85725</xdr:rowOff>
    </xdr:from>
    <xdr:to>
      <xdr:col>24</xdr:col>
      <xdr:colOff>219075</xdr:colOff>
      <xdr:row>41</xdr:row>
      <xdr:rowOff>38100</xdr:rowOff>
    </xdr:to>
    <xdr:sp macro="" textlink="">
      <xdr:nvSpPr>
        <xdr:cNvPr id="5" name="Rectangle: Rounded Corners 4">
          <a:extLst>
            <a:ext uri="{FF2B5EF4-FFF2-40B4-BE49-F238E27FC236}">
              <a16:creationId xmlns:a16="http://schemas.microsoft.com/office/drawing/2014/main" id="{9F379737-64AA-4FB1-AD46-C4BAF41C372E}"/>
            </a:ext>
          </a:extLst>
        </xdr:cNvPr>
        <xdr:cNvSpPr/>
      </xdr:nvSpPr>
      <xdr:spPr>
        <a:xfrm>
          <a:off x="7905750" y="3895725"/>
          <a:ext cx="6943725" cy="3952875"/>
        </a:xfrm>
        <a:prstGeom prst="roundRect">
          <a:avLst/>
        </a:prstGeom>
        <a:solidFill>
          <a:schemeClr val="accent1">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390526</xdr:colOff>
      <xdr:row>0</xdr:row>
      <xdr:rowOff>142875</xdr:rowOff>
    </xdr:from>
    <xdr:to>
      <xdr:col>28</xdr:col>
      <xdr:colOff>104776</xdr:colOff>
      <xdr:row>41</xdr:row>
      <xdr:rowOff>57150</xdr:rowOff>
    </xdr:to>
    <xdr:sp macro="" textlink="">
      <xdr:nvSpPr>
        <xdr:cNvPr id="6" name="Rectangle: Rounded Corners 5">
          <a:extLst>
            <a:ext uri="{FF2B5EF4-FFF2-40B4-BE49-F238E27FC236}">
              <a16:creationId xmlns:a16="http://schemas.microsoft.com/office/drawing/2014/main" id="{3AFB9FA2-5419-4142-9AC9-67E324D8CF02}"/>
            </a:ext>
          </a:extLst>
        </xdr:cNvPr>
        <xdr:cNvSpPr/>
      </xdr:nvSpPr>
      <xdr:spPr>
        <a:xfrm>
          <a:off x="15020926" y="142875"/>
          <a:ext cx="2152650" cy="7724775"/>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xdr:colOff>
      <xdr:row>0</xdr:row>
      <xdr:rowOff>76201</xdr:rowOff>
    </xdr:from>
    <xdr:to>
      <xdr:col>24</xdr:col>
      <xdr:colOff>276225</xdr:colOff>
      <xdr:row>7</xdr:row>
      <xdr:rowOff>57151</xdr:rowOff>
    </xdr:to>
    <xdr:sp macro="" textlink="">
      <xdr:nvSpPr>
        <xdr:cNvPr id="8" name="Rectangle: Rounded Corners 7">
          <a:extLst>
            <a:ext uri="{FF2B5EF4-FFF2-40B4-BE49-F238E27FC236}">
              <a16:creationId xmlns:a16="http://schemas.microsoft.com/office/drawing/2014/main" id="{A55743AE-A7F8-423E-BE9F-49D6C63B9C40}"/>
            </a:ext>
          </a:extLst>
        </xdr:cNvPr>
        <xdr:cNvSpPr/>
      </xdr:nvSpPr>
      <xdr:spPr>
        <a:xfrm>
          <a:off x="28575" y="76201"/>
          <a:ext cx="14878050" cy="131445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6000" b="1" i="1">
              <a:solidFill>
                <a:schemeClr val="tx1"/>
              </a:solidFill>
            </a:rPr>
            <a:t>Education/Student DashBorads</a:t>
          </a:r>
        </a:p>
      </xdr:txBody>
    </xdr:sp>
    <xdr:clientData/>
  </xdr:twoCellAnchor>
  <xdr:twoCellAnchor>
    <xdr:from>
      <xdr:col>12</xdr:col>
      <xdr:colOff>390525</xdr:colOff>
      <xdr:row>7</xdr:row>
      <xdr:rowOff>133351</xdr:rowOff>
    </xdr:from>
    <xdr:to>
      <xdr:col>18</xdr:col>
      <xdr:colOff>304800</xdr:colOff>
      <xdr:row>20</xdr:row>
      <xdr:rowOff>1</xdr:rowOff>
    </xdr:to>
    <xdr:sp macro="" textlink="">
      <xdr:nvSpPr>
        <xdr:cNvPr id="9" name="Rectangle: Rounded Corners 8">
          <a:extLst>
            <a:ext uri="{FF2B5EF4-FFF2-40B4-BE49-F238E27FC236}">
              <a16:creationId xmlns:a16="http://schemas.microsoft.com/office/drawing/2014/main" id="{8A86C3CE-0DA7-4829-BAAC-8C2BCE4B2127}"/>
            </a:ext>
          </a:extLst>
        </xdr:cNvPr>
        <xdr:cNvSpPr/>
      </xdr:nvSpPr>
      <xdr:spPr>
        <a:xfrm>
          <a:off x="7705725" y="1466851"/>
          <a:ext cx="3571875" cy="2343150"/>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1">
              <a:solidFill>
                <a:schemeClr val="bg1"/>
              </a:solidFill>
            </a:rPr>
            <a:t>Pass Percentage </a:t>
          </a:r>
        </a:p>
        <a:p>
          <a:pPr algn="ctr"/>
          <a:endParaRPr lang="en-US" sz="3200" b="1" i="1">
            <a:solidFill>
              <a:schemeClr val="bg1"/>
            </a:solidFill>
          </a:endParaRPr>
        </a:p>
        <a:p>
          <a:pPr algn="ctr"/>
          <a:r>
            <a:rPr lang="en-US" sz="3200" b="1" i="1">
              <a:solidFill>
                <a:schemeClr val="bg1"/>
              </a:solidFill>
            </a:rPr>
            <a:t>100</a:t>
          </a:r>
        </a:p>
      </xdr:txBody>
    </xdr:sp>
    <xdr:clientData/>
  </xdr:twoCellAnchor>
  <xdr:twoCellAnchor>
    <xdr:from>
      <xdr:col>18</xdr:col>
      <xdr:colOff>419100</xdr:colOff>
      <xdr:row>7</xdr:row>
      <xdr:rowOff>142875</xdr:rowOff>
    </xdr:from>
    <xdr:to>
      <xdr:col>24</xdr:col>
      <xdr:colOff>333375</xdr:colOff>
      <xdr:row>20</xdr:row>
      <xdr:rowOff>9525</xdr:rowOff>
    </xdr:to>
    <xdr:sp macro="" textlink="">
      <xdr:nvSpPr>
        <xdr:cNvPr id="10" name="Rectangle: Rounded Corners 9">
          <a:extLst>
            <a:ext uri="{FF2B5EF4-FFF2-40B4-BE49-F238E27FC236}">
              <a16:creationId xmlns:a16="http://schemas.microsoft.com/office/drawing/2014/main" id="{71826F6C-7E85-488A-973D-4B583294DEE0}"/>
            </a:ext>
          </a:extLst>
        </xdr:cNvPr>
        <xdr:cNvSpPr/>
      </xdr:nvSpPr>
      <xdr:spPr>
        <a:xfrm>
          <a:off x="11391900" y="1476375"/>
          <a:ext cx="3571875" cy="2343150"/>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1">
              <a:solidFill>
                <a:schemeClr val="bg1"/>
              </a:solidFill>
            </a:rPr>
            <a:t>Total_Students</a:t>
          </a:r>
        </a:p>
        <a:p>
          <a:pPr algn="ctr"/>
          <a:endParaRPr lang="en-US" sz="3200" b="1" i="1">
            <a:solidFill>
              <a:schemeClr val="bg1"/>
            </a:solidFill>
          </a:endParaRPr>
        </a:p>
        <a:p>
          <a:pPr algn="ctr"/>
          <a:r>
            <a:rPr lang="en-US" sz="3200" b="1" i="1">
              <a:solidFill>
                <a:schemeClr val="bg1"/>
              </a:solidFill>
            </a:rPr>
            <a:t>50</a:t>
          </a:r>
        </a:p>
      </xdr:txBody>
    </xdr:sp>
    <xdr:clientData/>
  </xdr:twoCellAnchor>
  <xdr:twoCellAnchor>
    <xdr:from>
      <xdr:col>0</xdr:col>
      <xdr:colOff>495301</xdr:colOff>
      <xdr:row>7</xdr:row>
      <xdr:rowOff>104774</xdr:rowOff>
    </xdr:from>
    <xdr:to>
      <xdr:col>12</xdr:col>
      <xdr:colOff>9525</xdr:colOff>
      <xdr:row>21</xdr:row>
      <xdr:rowOff>180974</xdr:rowOff>
    </xdr:to>
    <xdr:graphicFrame macro="">
      <xdr:nvGraphicFramePr>
        <xdr:cNvPr id="12" name="Chart 11">
          <a:extLst>
            <a:ext uri="{FF2B5EF4-FFF2-40B4-BE49-F238E27FC236}">
              <a16:creationId xmlns:a16="http://schemas.microsoft.com/office/drawing/2014/main" id="{36E086F3-E850-436A-B42A-32E577D55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228600</xdr:colOff>
      <xdr:row>24</xdr:row>
      <xdr:rowOff>66675</xdr:rowOff>
    </xdr:from>
    <xdr:to>
      <xdr:col>12</xdr:col>
      <xdr:colOff>409575</xdr:colOff>
      <xdr:row>40</xdr:row>
      <xdr:rowOff>19050</xdr:rowOff>
    </xdr:to>
    <xdr:graphicFrame macro="">
      <xdr:nvGraphicFramePr>
        <xdr:cNvPr id="14" name="Chart 13">
          <a:extLst>
            <a:ext uri="{FF2B5EF4-FFF2-40B4-BE49-F238E27FC236}">
              <a16:creationId xmlns:a16="http://schemas.microsoft.com/office/drawing/2014/main" id="{0F582315-ED5F-4079-B76C-C6000ECBA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257176</xdr:colOff>
      <xdr:row>21</xdr:row>
      <xdr:rowOff>38099</xdr:rowOff>
    </xdr:from>
    <xdr:to>
      <xdr:col>23</xdr:col>
      <xdr:colOff>571500</xdr:colOff>
      <xdr:row>40</xdr:row>
      <xdr:rowOff>85724</xdr:rowOff>
    </xdr:to>
    <xdr:graphicFrame macro="">
      <xdr:nvGraphicFramePr>
        <xdr:cNvPr id="15" name="Chart 14">
          <a:extLst>
            <a:ext uri="{FF2B5EF4-FFF2-40B4-BE49-F238E27FC236}">
              <a16:creationId xmlns:a16="http://schemas.microsoft.com/office/drawing/2014/main" id="{3A9A6017-4B3A-4FBF-BDA2-7E12B3757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495300</xdr:colOff>
      <xdr:row>1</xdr:row>
      <xdr:rowOff>28576</xdr:rowOff>
    </xdr:from>
    <xdr:to>
      <xdr:col>27</xdr:col>
      <xdr:colOff>561976</xdr:colOff>
      <xdr:row>9</xdr:row>
      <xdr:rowOff>161926</xdr:rowOff>
    </xdr:to>
    <mc:AlternateContent xmlns:mc="http://schemas.openxmlformats.org/markup-compatibility/2006" xmlns:a14="http://schemas.microsoft.com/office/drawing/2010/main">
      <mc:Choice Requires="a14">
        <xdr:graphicFrame macro="">
          <xdr:nvGraphicFramePr>
            <xdr:cNvPr id="16" name="subject_name2">
              <a:extLst>
                <a:ext uri="{FF2B5EF4-FFF2-40B4-BE49-F238E27FC236}">
                  <a16:creationId xmlns:a16="http://schemas.microsoft.com/office/drawing/2014/main" id="{1023655C-729A-4AF9-8DD0-0627806D391B}"/>
                </a:ext>
              </a:extLst>
            </xdr:cNvPr>
            <xdr:cNvGraphicFramePr/>
          </xdr:nvGraphicFramePr>
          <xdr:xfrm>
            <a:off x="0" y="0"/>
            <a:ext cx="0" cy="0"/>
          </xdr:xfrm>
          <a:graphic>
            <a:graphicData uri="http://schemas.microsoft.com/office/drawing/2010/slicer">
              <sle:slicer xmlns:sle="http://schemas.microsoft.com/office/drawing/2010/slicer" name="subject_name2"/>
            </a:graphicData>
          </a:graphic>
        </xdr:graphicFrame>
      </mc:Choice>
      <mc:Fallback xmlns="">
        <xdr:sp macro="" textlink="">
          <xdr:nvSpPr>
            <xdr:cNvPr id="0" name=""/>
            <xdr:cNvSpPr>
              <a:spLocks noTextEdit="1"/>
            </xdr:cNvSpPr>
          </xdr:nvSpPr>
          <xdr:spPr>
            <a:xfrm>
              <a:off x="15125700" y="219076"/>
              <a:ext cx="1895476" cy="165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485775</xdr:colOff>
      <xdr:row>17</xdr:row>
      <xdr:rowOff>57150</xdr:rowOff>
    </xdr:from>
    <xdr:to>
      <xdr:col>27</xdr:col>
      <xdr:colOff>581026</xdr:colOff>
      <xdr:row>41</xdr:row>
      <xdr:rowOff>9525</xdr:rowOff>
    </xdr:to>
    <mc:AlternateContent xmlns:mc="http://schemas.openxmlformats.org/markup-compatibility/2006" xmlns:a14="http://schemas.microsoft.com/office/drawing/2010/main">
      <mc:Choice Requires="a14">
        <xdr:graphicFrame macro="">
          <xdr:nvGraphicFramePr>
            <xdr:cNvPr id="18" name="student_rank">
              <a:extLst>
                <a:ext uri="{FF2B5EF4-FFF2-40B4-BE49-F238E27FC236}">
                  <a16:creationId xmlns:a16="http://schemas.microsoft.com/office/drawing/2014/main" id="{E91306A9-B0CC-4185-8C9E-58DED28A83E6}"/>
                </a:ext>
              </a:extLst>
            </xdr:cNvPr>
            <xdr:cNvGraphicFramePr/>
          </xdr:nvGraphicFramePr>
          <xdr:xfrm>
            <a:off x="0" y="0"/>
            <a:ext cx="0" cy="0"/>
          </xdr:xfrm>
          <a:graphic>
            <a:graphicData uri="http://schemas.microsoft.com/office/drawing/2010/slicer">
              <sle:slicer xmlns:sle="http://schemas.microsoft.com/office/drawing/2010/slicer" name="student_rank"/>
            </a:graphicData>
          </a:graphic>
        </xdr:graphicFrame>
      </mc:Choice>
      <mc:Fallback xmlns="">
        <xdr:sp macro="" textlink="">
          <xdr:nvSpPr>
            <xdr:cNvPr id="0" name=""/>
            <xdr:cNvSpPr>
              <a:spLocks noTextEdit="1"/>
            </xdr:cNvSpPr>
          </xdr:nvSpPr>
          <xdr:spPr>
            <a:xfrm>
              <a:off x="15116175" y="3295650"/>
              <a:ext cx="1924051" cy="4524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495300</xdr:colOff>
      <xdr:row>9</xdr:row>
      <xdr:rowOff>171450</xdr:rowOff>
    </xdr:from>
    <xdr:to>
      <xdr:col>27</xdr:col>
      <xdr:colOff>561976</xdr:colOff>
      <xdr:row>17</xdr:row>
      <xdr:rowOff>85725</xdr:rowOff>
    </xdr:to>
    <mc:AlternateContent xmlns:mc="http://schemas.openxmlformats.org/markup-compatibility/2006" xmlns:a14="http://schemas.microsoft.com/office/drawing/2010/main">
      <mc:Choice Requires="a14">
        <xdr:graphicFrame macro="">
          <xdr:nvGraphicFramePr>
            <xdr:cNvPr id="19" name="name2">
              <a:extLst>
                <a:ext uri="{FF2B5EF4-FFF2-40B4-BE49-F238E27FC236}">
                  <a16:creationId xmlns:a16="http://schemas.microsoft.com/office/drawing/2014/main" id="{A3D540B6-6DAC-4B6B-AF8B-018F322686C1}"/>
                </a:ext>
              </a:extLst>
            </xdr:cNvPr>
            <xdr:cNvGraphicFramePr/>
          </xdr:nvGraphicFramePr>
          <xdr:xfrm>
            <a:off x="0" y="0"/>
            <a:ext cx="0" cy="0"/>
          </xdr:xfrm>
          <a:graphic>
            <a:graphicData uri="http://schemas.microsoft.com/office/drawing/2010/slicer">
              <sle:slicer xmlns:sle="http://schemas.microsoft.com/office/drawing/2010/slicer" name="name2"/>
            </a:graphicData>
          </a:graphic>
        </xdr:graphicFrame>
      </mc:Choice>
      <mc:Fallback xmlns="">
        <xdr:sp macro="" textlink="">
          <xdr:nvSpPr>
            <xdr:cNvPr id="0" name=""/>
            <xdr:cNvSpPr>
              <a:spLocks noTextEdit="1"/>
            </xdr:cNvSpPr>
          </xdr:nvSpPr>
          <xdr:spPr>
            <a:xfrm>
              <a:off x="15125700" y="1885950"/>
              <a:ext cx="1895476"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3</xdr:row>
      <xdr:rowOff>180975</xdr:rowOff>
    </xdr:from>
    <xdr:to>
      <xdr:col>12</xdr:col>
      <xdr:colOff>314325</xdr:colOff>
      <xdr:row>20</xdr:row>
      <xdr:rowOff>104775</xdr:rowOff>
    </xdr:to>
    <xdr:sp macro="" textlink="">
      <xdr:nvSpPr>
        <xdr:cNvPr id="3" name="Rectangle: Rounded Corners 2">
          <a:extLst>
            <a:ext uri="{FF2B5EF4-FFF2-40B4-BE49-F238E27FC236}">
              <a16:creationId xmlns:a16="http://schemas.microsoft.com/office/drawing/2014/main" id="{F9418EDA-1082-34E5-AC62-46BE0B70DDC4}"/>
            </a:ext>
          </a:extLst>
        </xdr:cNvPr>
        <xdr:cNvSpPr/>
      </xdr:nvSpPr>
      <xdr:spPr>
        <a:xfrm>
          <a:off x="0" y="752475"/>
          <a:ext cx="7629525" cy="3162300"/>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62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20</xdr:row>
      <xdr:rowOff>142875</xdr:rowOff>
    </xdr:from>
    <xdr:to>
      <xdr:col>12</xdr:col>
      <xdr:colOff>314325</xdr:colOff>
      <xdr:row>41</xdr:row>
      <xdr:rowOff>19050</xdr:rowOff>
    </xdr:to>
    <xdr:sp macro="" textlink="">
      <xdr:nvSpPr>
        <xdr:cNvPr id="6" name="Rectangle: Rounded Corners 5">
          <a:extLst>
            <a:ext uri="{FF2B5EF4-FFF2-40B4-BE49-F238E27FC236}">
              <a16:creationId xmlns:a16="http://schemas.microsoft.com/office/drawing/2014/main" id="{AFD117DB-1551-4535-9732-4A1DEA33FB98}"/>
            </a:ext>
          </a:extLst>
        </xdr:cNvPr>
        <xdr:cNvSpPr/>
      </xdr:nvSpPr>
      <xdr:spPr>
        <a:xfrm>
          <a:off x="0" y="3952875"/>
          <a:ext cx="7629525" cy="3876675"/>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35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342900</xdr:colOff>
      <xdr:row>19</xdr:row>
      <xdr:rowOff>66675</xdr:rowOff>
    </xdr:from>
    <xdr:to>
      <xdr:col>25</xdr:col>
      <xdr:colOff>47625</xdr:colOff>
      <xdr:row>41</xdr:row>
      <xdr:rowOff>9525</xdr:rowOff>
    </xdr:to>
    <xdr:sp macro="" textlink="">
      <xdr:nvSpPr>
        <xdr:cNvPr id="8" name="Rectangle: Rounded Corners 7">
          <a:extLst>
            <a:ext uri="{FF2B5EF4-FFF2-40B4-BE49-F238E27FC236}">
              <a16:creationId xmlns:a16="http://schemas.microsoft.com/office/drawing/2014/main" id="{C2D490E0-248C-4D55-9936-F2E17008DF80}"/>
            </a:ext>
          </a:extLst>
        </xdr:cNvPr>
        <xdr:cNvSpPr/>
      </xdr:nvSpPr>
      <xdr:spPr>
        <a:xfrm>
          <a:off x="7658100" y="3686175"/>
          <a:ext cx="7629525" cy="4133850"/>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35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161925</xdr:colOff>
      <xdr:row>4</xdr:row>
      <xdr:rowOff>123825</xdr:rowOff>
    </xdr:from>
    <xdr:to>
      <xdr:col>12</xdr:col>
      <xdr:colOff>28574</xdr:colOff>
      <xdr:row>19</xdr:row>
      <xdr:rowOff>123825</xdr:rowOff>
    </xdr:to>
    <xdr:graphicFrame macro="">
      <xdr:nvGraphicFramePr>
        <xdr:cNvPr id="11" name="Chart 10">
          <a:extLst>
            <a:ext uri="{FF2B5EF4-FFF2-40B4-BE49-F238E27FC236}">
              <a16:creationId xmlns:a16="http://schemas.microsoft.com/office/drawing/2014/main" id="{FBEF7114-F915-4E30-A339-3BAC2059A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200025</xdr:colOff>
      <xdr:row>22</xdr:row>
      <xdr:rowOff>123825</xdr:rowOff>
    </xdr:from>
    <xdr:to>
      <xdr:col>12</xdr:col>
      <xdr:colOff>142875</xdr:colOff>
      <xdr:row>39</xdr:row>
      <xdr:rowOff>123824</xdr:rowOff>
    </xdr:to>
    <xdr:graphicFrame macro="">
      <xdr:nvGraphicFramePr>
        <xdr:cNvPr id="13" name="Chart 12">
          <a:extLst>
            <a:ext uri="{FF2B5EF4-FFF2-40B4-BE49-F238E27FC236}">
              <a16:creationId xmlns:a16="http://schemas.microsoft.com/office/drawing/2014/main" id="{85FEDB87-1362-48AC-B5B6-A05870017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76200</xdr:colOff>
      <xdr:row>3</xdr:row>
      <xdr:rowOff>133350</xdr:rowOff>
    </xdr:from>
    <xdr:to>
      <xdr:col>28</xdr:col>
      <xdr:colOff>76200</xdr:colOff>
      <xdr:row>41</xdr:row>
      <xdr:rowOff>28575</xdr:rowOff>
    </xdr:to>
    <xdr:sp macro="" textlink="">
      <xdr:nvSpPr>
        <xdr:cNvPr id="17" name="Rectangle: Rounded Corners 16">
          <a:extLst>
            <a:ext uri="{FF2B5EF4-FFF2-40B4-BE49-F238E27FC236}">
              <a16:creationId xmlns:a16="http://schemas.microsoft.com/office/drawing/2014/main" id="{26A0E580-132C-425A-ACA2-E20F4E629B8C}"/>
            </a:ext>
          </a:extLst>
        </xdr:cNvPr>
        <xdr:cNvSpPr/>
      </xdr:nvSpPr>
      <xdr:spPr>
        <a:xfrm>
          <a:off x="15316200" y="704850"/>
          <a:ext cx="1828800" cy="7134225"/>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390526</xdr:colOff>
      <xdr:row>9</xdr:row>
      <xdr:rowOff>95250</xdr:rowOff>
    </xdr:from>
    <xdr:to>
      <xdr:col>17</xdr:col>
      <xdr:colOff>47626</xdr:colOff>
      <xdr:row>18</xdr:row>
      <xdr:rowOff>161925</xdr:rowOff>
    </xdr:to>
    <xdr:sp macro="" textlink="">
      <xdr:nvSpPr>
        <xdr:cNvPr id="18" name="Rectangle: Rounded Corners 17">
          <a:extLst>
            <a:ext uri="{FF2B5EF4-FFF2-40B4-BE49-F238E27FC236}">
              <a16:creationId xmlns:a16="http://schemas.microsoft.com/office/drawing/2014/main" id="{4660C337-D488-4830-B72D-8801EBEF4C06}"/>
            </a:ext>
          </a:extLst>
        </xdr:cNvPr>
        <xdr:cNvSpPr/>
      </xdr:nvSpPr>
      <xdr:spPr>
        <a:xfrm>
          <a:off x="7705726" y="1809750"/>
          <a:ext cx="2705100" cy="1781175"/>
        </a:xfrm>
        <a:prstGeom prst="round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r="100000" b="100000"/>
          </a:path>
          <a:tileRect l="-100000" t="-100000"/>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2800" b="1" i="1" u="sng">
              <a:solidFill>
                <a:schemeClr val="bg2"/>
              </a:solidFill>
            </a:rPr>
            <a:t>Total</a:t>
          </a:r>
          <a:r>
            <a:rPr lang="en-US" sz="2800" b="1" i="1" u="sng" baseline="0">
              <a:solidFill>
                <a:schemeClr val="bg2"/>
              </a:solidFill>
            </a:rPr>
            <a:t>_Revenue</a:t>
          </a:r>
        </a:p>
        <a:p>
          <a:pPr algn="ctr"/>
          <a:r>
            <a:rPr lang="en-US" sz="2800" baseline="0">
              <a:solidFill>
                <a:schemeClr val="bg2"/>
              </a:solidFill>
            </a:rPr>
            <a:t>   </a:t>
          </a:r>
          <a:endParaRPr lang="en-US" sz="1100" b="0" i="0" u="none" strike="noStrike" baseline="0">
            <a:solidFill>
              <a:schemeClr val="bg2"/>
            </a:solidFill>
            <a:effectLst/>
            <a:latin typeface="+mn-lt"/>
            <a:ea typeface="+mn-ea"/>
            <a:cs typeface="+mn-cs"/>
          </a:endParaRPr>
        </a:p>
        <a:p>
          <a:pPr algn="ctr"/>
          <a:r>
            <a:rPr lang="en-US" sz="2800" b="1" i="1" u="none" strike="noStrike">
              <a:solidFill>
                <a:schemeClr val="bg2"/>
              </a:solidFill>
              <a:effectLst/>
              <a:latin typeface="+mn-lt"/>
              <a:ea typeface="+mn-ea"/>
              <a:cs typeface="+mn-cs"/>
            </a:rPr>
            <a:t>672750</a:t>
          </a:r>
          <a:r>
            <a:rPr lang="en-US" sz="2800">
              <a:solidFill>
                <a:schemeClr val="bg2"/>
              </a:solidFill>
              <a:effectLst/>
            </a:rPr>
            <a:t> </a:t>
          </a:r>
          <a:endParaRPr lang="en-US" sz="2800">
            <a:solidFill>
              <a:schemeClr val="bg2"/>
            </a:solidFill>
          </a:endParaRPr>
        </a:p>
      </xdr:txBody>
    </xdr:sp>
    <xdr:clientData/>
  </xdr:twoCellAnchor>
  <xdr:twoCellAnchor>
    <xdr:from>
      <xdr:col>21</xdr:col>
      <xdr:colOff>352426</xdr:colOff>
      <xdr:row>9</xdr:row>
      <xdr:rowOff>95250</xdr:rowOff>
    </xdr:from>
    <xdr:to>
      <xdr:col>25</xdr:col>
      <xdr:colOff>28576</xdr:colOff>
      <xdr:row>19</xdr:row>
      <xdr:rowOff>19050</xdr:rowOff>
    </xdr:to>
    <xdr:sp macro="" textlink="">
      <xdr:nvSpPr>
        <xdr:cNvPr id="20" name="Rectangle: Rounded Corners 19">
          <a:extLst>
            <a:ext uri="{FF2B5EF4-FFF2-40B4-BE49-F238E27FC236}">
              <a16:creationId xmlns:a16="http://schemas.microsoft.com/office/drawing/2014/main" id="{6435736F-9A24-431A-AEA9-A2D127813027}"/>
            </a:ext>
          </a:extLst>
        </xdr:cNvPr>
        <xdr:cNvSpPr/>
      </xdr:nvSpPr>
      <xdr:spPr>
        <a:xfrm>
          <a:off x="13154026" y="1809750"/>
          <a:ext cx="2114550" cy="1828800"/>
        </a:xfrm>
        <a:prstGeom prst="round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50000" t="50000" r="50000" b="50000"/>
          </a:path>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1" u="sng">
              <a:solidFill>
                <a:schemeClr val="bg2"/>
              </a:solidFill>
            </a:rPr>
            <a:t>Total_employee</a:t>
          </a:r>
        </a:p>
        <a:p>
          <a:pPr algn="ctr"/>
          <a:endParaRPr lang="en-US" sz="2000" b="1" i="1" u="none" strike="noStrike">
            <a:solidFill>
              <a:schemeClr val="bg2"/>
            </a:solidFill>
            <a:effectLst/>
            <a:latin typeface="+mn-lt"/>
            <a:ea typeface="+mn-ea"/>
            <a:cs typeface="+mn-cs"/>
          </a:endParaRPr>
        </a:p>
        <a:p>
          <a:pPr algn="ctr"/>
          <a:r>
            <a:rPr lang="en-US" sz="2800" b="1" i="1" u="none" strike="noStrike">
              <a:solidFill>
                <a:schemeClr val="bg2"/>
              </a:solidFill>
              <a:effectLst/>
              <a:latin typeface="+mn-lt"/>
              <a:ea typeface="+mn-ea"/>
              <a:cs typeface="+mn-cs"/>
            </a:rPr>
            <a:t>500</a:t>
          </a:r>
          <a:r>
            <a:rPr lang="en-US" sz="2800" b="1" i="1" u="none">
              <a:solidFill>
                <a:schemeClr val="bg2"/>
              </a:solidFill>
              <a:effectLst/>
            </a:rPr>
            <a:t> </a:t>
          </a:r>
          <a:endParaRPr lang="en-US" sz="2800" b="1" i="1" u="none">
            <a:solidFill>
              <a:schemeClr val="bg2"/>
            </a:solidFill>
          </a:endParaRPr>
        </a:p>
      </xdr:txBody>
    </xdr:sp>
    <xdr:clientData/>
  </xdr:twoCellAnchor>
  <xdr:twoCellAnchor>
    <xdr:from>
      <xdr:col>13</xdr:col>
      <xdr:colOff>180975</xdr:colOff>
      <xdr:row>19</xdr:row>
      <xdr:rowOff>142875</xdr:rowOff>
    </xdr:from>
    <xdr:to>
      <xdr:col>24</xdr:col>
      <xdr:colOff>295274</xdr:colOff>
      <xdr:row>40</xdr:row>
      <xdr:rowOff>142874</xdr:rowOff>
    </xdr:to>
    <xdr:graphicFrame macro="">
      <xdr:nvGraphicFramePr>
        <xdr:cNvPr id="22" name="Chart 21">
          <a:extLst>
            <a:ext uri="{FF2B5EF4-FFF2-40B4-BE49-F238E27FC236}">
              <a16:creationId xmlns:a16="http://schemas.microsoft.com/office/drawing/2014/main" id="{EFE63777-585D-421E-8EC7-94BA25E07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123825</xdr:colOff>
      <xdr:row>9</xdr:row>
      <xdr:rowOff>95250</xdr:rowOff>
    </xdr:from>
    <xdr:to>
      <xdr:col>21</xdr:col>
      <xdr:colOff>285750</xdr:colOff>
      <xdr:row>18</xdr:row>
      <xdr:rowOff>180976</xdr:rowOff>
    </xdr:to>
    <xdr:sp macro="" textlink="">
      <xdr:nvSpPr>
        <xdr:cNvPr id="23" name="Rectangle: Rounded Corners 22">
          <a:extLst>
            <a:ext uri="{FF2B5EF4-FFF2-40B4-BE49-F238E27FC236}">
              <a16:creationId xmlns:a16="http://schemas.microsoft.com/office/drawing/2014/main" id="{999104FC-FE28-42D9-BE1B-C436F7651E8A}"/>
            </a:ext>
          </a:extLst>
        </xdr:cNvPr>
        <xdr:cNvSpPr/>
      </xdr:nvSpPr>
      <xdr:spPr>
        <a:xfrm>
          <a:off x="10487025" y="1809750"/>
          <a:ext cx="2600325" cy="1800226"/>
        </a:xfrm>
        <a:prstGeom prst="round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08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1" u="sng">
              <a:solidFill>
                <a:schemeClr val="bg2"/>
              </a:solidFill>
            </a:rPr>
            <a:t>Profit</a:t>
          </a:r>
          <a:r>
            <a:rPr lang="en-US" sz="2800" b="1" u="sng" baseline="0">
              <a:solidFill>
                <a:schemeClr val="bg2"/>
              </a:solidFill>
            </a:rPr>
            <a:t>   </a:t>
          </a:r>
        </a:p>
        <a:p>
          <a:pPr algn="ctr"/>
          <a:endParaRPr lang="en-US" sz="2800" baseline="0">
            <a:solidFill>
              <a:schemeClr val="bg2"/>
            </a:solidFill>
          </a:endParaRPr>
        </a:p>
        <a:p>
          <a:pPr algn="ctr"/>
          <a:r>
            <a:rPr lang="en-US" sz="2800" b="1" i="0" u="none" strike="noStrike">
              <a:solidFill>
                <a:schemeClr val="bg2"/>
              </a:solidFill>
              <a:effectLst/>
              <a:latin typeface="+mn-lt"/>
              <a:ea typeface="+mn-ea"/>
              <a:cs typeface="+mn-cs"/>
            </a:rPr>
            <a:t>155250</a:t>
          </a:r>
          <a:r>
            <a:rPr lang="en-US" sz="2800">
              <a:solidFill>
                <a:schemeClr val="bg2"/>
              </a:solidFill>
              <a:effectLst/>
            </a:rPr>
            <a:t> </a:t>
          </a:r>
          <a:endParaRPr lang="en-US" sz="2800" baseline="0">
            <a:solidFill>
              <a:schemeClr val="bg2"/>
            </a:solidFill>
          </a:endParaRPr>
        </a:p>
        <a:p>
          <a:pPr algn="l"/>
          <a:endParaRPr lang="en-US" sz="1100"/>
        </a:p>
      </xdr:txBody>
    </xdr:sp>
    <xdr:clientData/>
  </xdr:twoCellAnchor>
  <xdr:twoCellAnchor editAs="oneCell">
    <xdr:from>
      <xdr:col>25</xdr:col>
      <xdr:colOff>180975</xdr:colOff>
      <xdr:row>25</xdr:row>
      <xdr:rowOff>171450</xdr:rowOff>
    </xdr:from>
    <xdr:to>
      <xdr:col>28</xdr:col>
      <xdr:colOff>1</xdr:colOff>
      <xdr:row>39</xdr:row>
      <xdr:rowOff>28575</xdr:rowOff>
    </xdr:to>
    <mc:AlternateContent xmlns:mc="http://schemas.openxmlformats.org/markup-compatibility/2006" xmlns:a14="http://schemas.microsoft.com/office/drawing/2010/main">
      <mc:Choice Requires="a14">
        <xdr:graphicFrame macro="">
          <xdr:nvGraphicFramePr>
            <xdr:cNvPr id="24" name="Product_name 1">
              <a:extLst>
                <a:ext uri="{FF2B5EF4-FFF2-40B4-BE49-F238E27FC236}">
                  <a16:creationId xmlns:a16="http://schemas.microsoft.com/office/drawing/2014/main" id="{8554BE2C-77E0-4A1D-A71D-7AE68FC20E79}"/>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15420975" y="4933950"/>
              <a:ext cx="164782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161925</xdr:colOff>
      <xdr:row>4</xdr:row>
      <xdr:rowOff>47625</xdr:rowOff>
    </xdr:from>
    <xdr:to>
      <xdr:col>28</xdr:col>
      <xdr:colOff>1</xdr:colOff>
      <xdr:row>17</xdr:row>
      <xdr:rowOff>19050</xdr:rowOff>
    </xdr:to>
    <mc:AlternateContent xmlns:mc="http://schemas.openxmlformats.org/markup-compatibility/2006" xmlns:a14="http://schemas.microsoft.com/office/drawing/2010/main">
      <mc:Choice Requires="a14">
        <xdr:graphicFrame macro="">
          <xdr:nvGraphicFramePr>
            <xdr:cNvPr id="25" name="Month 1">
              <a:extLst>
                <a:ext uri="{FF2B5EF4-FFF2-40B4-BE49-F238E27FC236}">
                  <a16:creationId xmlns:a16="http://schemas.microsoft.com/office/drawing/2014/main" id="{1984E644-F8FA-4832-B877-3E75BE89DDF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5401925" y="809625"/>
              <a:ext cx="1666876" cy="2447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180975</xdr:colOff>
      <xdr:row>17</xdr:row>
      <xdr:rowOff>19050</xdr:rowOff>
    </xdr:from>
    <xdr:to>
      <xdr:col>28</xdr:col>
      <xdr:colOff>19050</xdr:colOff>
      <xdr:row>26</xdr:row>
      <xdr:rowOff>9525</xdr:rowOff>
    </xdr:to>
    <mc:AlternateContent xmlns:mc="http://schemas.openxmlformats.org/markup-compatibility/2006" xmlns:a14="http://schemas.microsoft.com/office/drawing/2010/main">
      <mc:Choice Requires="a14">
        <xdr:graphicFrame macro="">
          <xdr:nvGraphicFramePr>
            <xdr:cNvPr id="26" name="Region">
              <a:extLst>
                <a:ext uri="{FF2B5EF4-FFF2-40B4-BE49-F238E27FC236}">
                  <a16:creationId xmlns:a16="http://schemas.microsoft.com/office/drawing/2014/main" id="{E96F549C-4F07-B8A3-506D-5FC2BA34562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420975" y="3257550"/>
              <a:ext cx="1666875"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333375</xdr:colOff>
      <xdr:row>4</xdr:row>
      <xdr:rowOff>0</xdr:rowOff>
    </xdr:from>
    <xdr:to>
      <xdr:col>25</xdr:col>
      <xdr:colOff>57150</xdr:colOff>
      <xdr:row>9</xdr:row>
      <xdr:rowOff>0</xdr:rowOff>
    </xdr:to>
    <xdr:sp macro="" textlink="">
      <xdr:nvSpPr>
        <xdr:cNvPr id="27" name="Rectangle: Rounded Corners 26">
          <a:extLst>
            <a:ext uri="{FF2B5EF4-FFF2-40B4-BE49-F238E27FC236}">
              <a16:creationId xmlns:a16="http://schemas.microsoft.com/office/drawing/2014/main" id="{58182538-63B6-4145-9217-E345506407AF}"/>
            </a:ext>
          </a:extLst>
        </xdr:cNvPr>
        <xdr:cNvSpPr/>
      </xdr:nvSpPr>
      <xdr:spPr>
        <a:xfrm>
          <a:off x="7648575" y="762000"/>
          <a:ext cx="7648575" cy="952500"/>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35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solidFill>
                <a:schemeClr val="tx1"/>
              </a:solidFill>
            </a:rPr>
            <a:t>Sales &amp; Update</a:t>
          </a:r>
        </a:p>
      </xdr:txBody>
    </xdr:sp>
    <xdr:clientData/>
  </xdr:twoCellAnchor>
  <xdr:twoCellAnchor>
    <xdr:from>
      <xdr:col>0</xdr:col>
      <xdr:colOff>0</xdr:colOff>
      <xdr:row>0</xdr:row>
      <xdr:rowOff>9526</xdr:rowOff>
    </xdr:from>
    <xdr:to>
      <xdr:col>28</xdr:col>
      <xdr:colOff>180975</xdr:colOff>
      <xdr:row>3</xdr:row>
      <xdr:rowOff>171450</xdr:rowOff>
    </xdr:to>
    <xdr:sp macro="" textlink="">
      <xdr:nvSpPr>
        <xdr:cNvPr id="28" name="Rectangle: Rounded Corners 27">
          <a:extLst>
            <a:ext uri="{FF2B5EF4-FFF2-40B4-BE49-F238E27FC236}">
              <a16:creationId xmlns:a16="http://schemas.microsoft.com/office/drawing/2014/main" id="{250D41B7-C078-46C8-8448-E729E1D06EEA}"/>
            </a:ext>
          </a:extLst>
        </xdr:cNvPr>
        <xdr:cNvSpPr/>
      </xdr:nvSpPr>
      <xdr:spPr>
        <a:xfrm>
          <a:off x="0" y="9526"/>
          <a:ext cx="17249775" cy="733424"/>
        </a:xfrm>
        <a:prstGeom prst="round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1" u="sng">
              <a:solidFill>
                <a:schemeClr val="accent2"/>
              </a:solidFill>
            </a:rPr>
            <a:t>Sales &amp; Revenue Analysis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238124</xdr:colOff>
      <xdr:row>22</xdr:row>
      <xdr:rowOff>9525</xdr:rowOff>
    </xdr:from>
    <xdr:to>
      <xdr:col>16</xdr:col>
      <xdr:colOff>76199</xdr:colOff>
      <xdr:row>39</xdr:row>
      <xdr:rowOff>133350</xdr:rowOff>
    </xdr:to>
    <xdr:sp macro="" textlink="">
      <xdr:nvSpPr>
        <xdr:cNvPr id="2" name="Rectangle: Rounded Corners 1">
          <a:extLst>
            <a:ext uri="{FF2B5EF4-FFF2-40B4-BE49-F238E27FC236}">
              <a16:creationId xmlns:a16="http://schemas.microsoft.com/office/drawing/2014/main" id="{0A3A3646-B2C6-395C-F2DE-C55D964461B0}"/>
            </a:ext>
          </a:extLst>
        </xdr:cNvPr>
        <xdr:cNvSpPr/>
      </xdr:nvSpPr>
      <xdr:spPr>
        <a:xfrm>
          <a:off x="2066924" y="4200525"/>
          <a:ext cx="7762875" cy="336232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142875</xdr:colOff>
      <xdr:row>4</xdr:row>
      <xdr:rowOff>28575</xdr:rowOff>
    </xdr:from>
    <xdr:to>
      <xdr:col>28</xdr:col>
      <xdr:colOff>133350</xdr:colOff>
      <xdr:row>21</xdr:row>
      <xdr:rowOff>133350</xdr:rowOff>
    </xdr:to>
    <xdr:sp macro="" textlink="">
      <xdr:nvSpPr>
        <xdr:cNvPr id="3" name="Rectangle: Rounded Corners 2">
          <a:extLst>
            <a:ext uri="{FF2B5EF4-FFF2-40B4-BE49-F238E27FC236}">
              <a16:creationId xmlns:a16="http://schemas.microsoft.com/office/drawing/2014/main" id="{384FDB73-0B2E-4FB3-911E-A7822518F67F}"/>
            </a:ext>
          </a:extLst>
        </xdr:cNvPr>
        <xdr:cNvSpPr/>
      </xdr:nvSpPr>
      <xdr:spPr>
        <a:xfrm>
          <a:off x="9896475" y="790575"/>
          <a:ext cx="7305675" cy="334327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171450</xdr:colOff>
      <xdr:row>22</xdr:row>
      <xdr:rowOff>28575</xdr:rowOff>
    </xdr:from>
    <xdr:to>
      <xdr:col>28</xdr:col>
      <xdr:colOff>152400</xdr:colOff>
      <xdr:row>39</xdr:row>
      <xdr:rowOff>123825</xdr:rowOff>
    </xdr:to>
    <xdr:sp macro="" textlink="">
      <xdr:nvSpPr>
        <xdr:cNvPr id="4" name="Rectangle: Rounded Corners 3">
          <a:extLst>
            <a:ext uri="{FF2B5EF4-FFF2-40B4-BE49-F238E27FC236}">
              <a16:creationId xmlns:a16="http://schemas.microsoft.com/office/drawing/2014/main" id="{248B8E39-D0F8-4DDE-871F-DD628F7AD388}"/>
            </a:ext>
          </a:extLst>
        </xdr:cNvPr>
        <xdr:cNvSpPr/>
      </xdr:nvSpPr>
      <xdr:spPr>
        <a:xfrm>
          <a:off x="9925050" y="4219575"/>
          <a:ext cx="7296150" cy="33337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371475</xdr:colOff>
      <xdr:row>4</xdr:row>
      <xdr:rowOff>76201</xdr:rowOff>
    </xdr:from>
    <xdr:to>
      <xdr:col>16</xdr:col>
      <xdr:colOff>114299</xdr:colOff>
      <xdr:row>21</xdr:row>
      <xdr:rowOff>142875</xdr:rowOff>
    </xdr:to>
    <xdr:sp macro="" textlink="">
      <xdr:nvSpPr>
        <xdr:cNvPr id="5" name="Rectangle: Rounded Corners 4">
          <a:extLst>
            <a:ext uri="{FF2B5EF4-FFF2-40B4-BE49-F238E27FC236}">
              <a16:creationId xmlns:a16="http://schemas.microsoft.com/office/drawing/2014/main" id="{2F46A5CD-DA9B-4B29-87E5-CB91C7341C70}"/>
            </a:ext>
          </a:extLst>
        </xdr:cNvPr>
        <xdr:cNvSpPr/>
      </xdr:nvSpPr>
      <xdr:spPr>
        <a:xfrm>
          <a:off x="4638675" y="838201"/>
          <a:ext cx="5229224" cy="3305174"/>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0</xdr:row>
      <xdr:rowOff>38100</xdr:rowOff>
    </xdr:from>
    <xdr:to>
      <xdr:col>28</xdr:col>
      <xdr:colOff>123825</xdr:colOff>
      <xdr:row>4</xdr:row>
      <xdr:rowOff>9525</xdr:rowOff>
    </xdr:to>
    <xdr:sp macro="" textlink="">
      <xdr:nvSpPr>
        <xdr:cNvPr id="7" name="Rectangle: Rounded Corners 6">
          <a:extLst>
            <a:ext uri="{FF2B5EF4-FFF2-40B4-BE49-F238E27FC236}">
              <a16:creationId xmlns:a16="http://schemas.microsoft.com/office/drawing/2014/main" id="{F0CA4410-3073-470B-878F-74EBC279CB40}"/>
            </a:ext>
          </a:extLst>
        </xdr:cNvPr>
        <xdr:cNvSpPr/>
      </xdr:nvSpPr>
      <xdr:spPr>
        <a:xfrm>
          <a:off x="38100" y="38100"/>
          <a:ext cx="17154525" cy="73342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1" baseline="0">
              <a:solidFill>
                <a:schemeClr val="accent2"/>
              </a:solidFill>
            </a:rPr>
            <a:t>Student Performance Analytics Dashboard</a:t>
          </a:r>
        </a:p>
        <a:p>
          <a:pPr algn="ctr"/>
          <a:endParaRPr lang="en-US" sz="3200" b="1" i="1">
            <a:solidFill>
              <a:schemeClr val="accent2"/>
            </a:solidFill>
          </a:endParaRPr>
        </a:p>
      </xdr:txBody>
    </xdr:sp>
    <xdr:clientData/>
  </xdr:twoCellAnchor>
  <xdr:twoCellAnchor>
    <xdr:from>
      <xdr:col>0</xdr:col>
      <xdr:colOff>28575</xdr:colOff>
      <xdr:row>4</xdr:row>
      <xdr:rowOff>95250</xdr:rowOff>
    </xdr:from>
    <xdr:to>
      <xdr:col>3</xdr:col>
      <xdr:colOff>152400</xdr:colOff>
      <xdr:row>40</xdr:row>
      <xdr:rowOff>9525</xdr:rowOff>
    </xdr:to>
    <xdr:sp macro="" textlink="">
      <xdr:nvSpPr>
        <xdr:cNvPr id="8" name="Rectangle: Rounded Corners 7">
          <a:extLst>
            <a:ext uri="{FF2B5EF4-FFF2-40B4-BE49-F238E27FC236}">
              <a16:creationId xmlns:a16="http://schemas.microsoft.com/office/drawing/2014/main" id="{2BDA5140-9657-4B9F-87A1-8E0ECD71ABD4}"/>
            </a:ext>
          </a:extLst>
        </xdr:cNvPr>
        <xdr:cNvSpPr/>
      </xdr:nvSpPr>
      <xdr:spPr>
        <a:xfrm>
          <a:off x="28575" y="857250"/>
          <a:ext cx="1952625" cy="6772275"/>
        </a:xfrm>
        <a:prstGeom prst="round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438150</xdr:colOff>
      <xdr:row>5</xdr:row>
      <xdr:rowOff>0</xdr:rowOff>
    </xdr:from>
    <xdr:to>
      <xdr:col>27</xdr:col>
      <xdr:colOff>514350</xdr:colOff>
      <xdr:row>20</xdr:row>
      <xdr:rowOff>171449</xdr:rowOff>
    </xdr:to>
    <xdr:graphicFrame macro="">
      <xdr:nvGraphicFramePr>
        <xdr:cNvPr id="10" name="Chart 9">
          <a:extLst>
            <a:ext uri="{FF2B5EF4-FFF2-40B4-BE49-F238E27FC236}">
              <a16:creationId xmlns:a16="http://schemas.microsoft.com/office/drawing/2014/main" id="{C3A09586-F707-4B00-AC7B-A8331B67A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514351</xdr:colOff>
      <xdr:row>22</xdr:row>
      <xdr:rowOff>152401</xdr:rowOff>
    </xdr:from>
    <xdr:to>
      <xdr:col>27</xdr:col>
      <xdr:colOff>476251</xdr:colOff>
      <xdr:row>39</xdr:row>
      <xdr:rowOff>38101</xdr:rowOff>
    </xdr:to>
    <xdr:graphicFrame macro="">
      <xdr:nvGraphicFramePr>
        <xdr:cNvPr id="11" name="Chart 10">
          <a:extLst>
            <a:ext uri="{FF2B5EF4-FFF2-40B4-BE49-F238E27FC236}">
              <a16:creationId xmlns:a16="http://schemas.microsoft.com/office/drawing/2014/main" id="{A17B54EB-039E-4C07-9EFA-B8FB35778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561974</xdr:colOff>
      <xdr:row>22</xdr:row>
      <xdr:rowOff>152400</xdr:rowOff>
    </xdr:from>
    <xdr:to>
      <xdr:col>15</xdr:col>
      <xdr:colOff>57149</xdr:colOff>
      <xdr:row>39</xdr:row>
      <xdr:rowOff>38100</xdr:rowOff>
    </xdr:to>
    <xdr:graphicFrame macro="">
      <xdr:nvGraphicFramePr>
        <xdr:cNvPr id="12" name="Chart 11">
          <a:extLst>
            <a:ext uri="{FF2B5EF4-FFF2-40B4-BE49-F238E27FC236}">
              <a16:creationId xmlns:a16="http://schemas.microsoft.com/office/drawing/2014/main" id="{C90C6E3B-F797-4295-8785-535B900EE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104775</xdr:colOff>
      <xdr:row>5</xdr:row>
      <xdr:rowOff>9526</xdr:rowOff>
    </xdr:from>
    <xdr:to>
      <xdr:col>15</xdr:col>
      <xdr:colOff>390525</xdr:colOff>
      <xdr:row>21</xdr:row>
      <xdr:rowOff>57150</xdr:rowOff>
    </xdr:to>
    <xdr:graphicFrame macro="">
      <xdr:nvGraphicFramePr>
        <xdr:cNvPr id="13" name="Chart 12">
          <a:extLst>
            <a:ext uri="{FF2B5EF4-FFF2-40B4-BE49-F238E27FC236}">
              <a16:creationId xmlns:a16="http://schemas.microsoft.com/office/drawing/2014/main" id="{18575CDF-488F-4C7A-8093-D0C725D8D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123825</xdr:colOff>
      <xdr:row>12</xdr:row>
      <xdr:rowOff>38100</xdr:rowOff>
    </xdr:from>
    <xdr:to>
      <xdr:col>3</xdr:col>
      <xdr:colOff>95250</xdr:colOff>
      <xdr:row>23</xdr:row>
      <xdr:rowOff>66675</xdr:rowOff>
    </xdr:to>
    <mc:AlternateContent xmlns:mc="http://schemas.openxmlformats.org/markup-compatibility/2006" xmlns:a14="http://schemas.microsoft.com/office/drawing/2010/main">
      <mc:Choice Requires="a14">
        <xdr:graphicFrame macro="">
          <xdr:nvGraphicFramePr>
            <xdr:cNvPr id="14" name="subject_name">
              <a:extLst>
                <a:ext uri="{FF2B5EF4-FFF2-40B4-BE49-F238E27FC236}">
                  <a16:creationId xmlns:a16="http://schemas.microsoft.com/office/drawing/2014/main" id="{80C9BB10-2EF4-C74A-58BB-CFBD1F3476AE}"/>
                </a:ext>
              </a:extLst>
            </xdr:cNvPr>
            <xdr:cNvGraphicFramePr/>
          </xdr:nvGraphicFramePr>
          <xdr:xfrm>
            <a:off x="0" y="0"/>
            <a:ext cx="0" cy="0"/>
          </xdr:xfrm>
          <a:graphic>
            <a:graphicData uri="http://schemas.microsoft.com/office/drawing/2010/slicer">
              <sle:slicer xmlns:sle="http://schemas.microsoft.com/office/drawing/2010/slicer" name="subject_name"/>
            </a:graphicData>
          </a:graphic>
        </xdr:graphicFrame>
      </mc:Choice>
      <mc:Fallback xmlns="">
        <xdr:sp macro="" textlink="">
          <xdr:nvSpPr>
            <xdr:cNvPr id="0" name=""/>
            <xdr:cNvSpPr>
              <a:spLocks noTextEdit="1"/>
            </xdr:cNvSpPr>
          </xdr:nvSpPr>
          <xdr:spPr>
            <a:xfrm>
              <a:off x="123825" y="2324100"/>
              <a:ext cx="1800225" cy="2124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4</xdr:row>
      <xdr:rowOff>152400</xdr:rowOff>
    </xdr:from>
    <xdr:to>
      <xdr:col>3</xdr:col>
      <xdr:colOff>19050</xdr:colOff>
      <xdr:row>12</xdr:row>
      <xdr:rowOff>47624</xdr:rowOff>
    </xdr:to>
    <mc:AlternateContent xmlns:mc="http://schemas.openxmlformats.org/markup-compatibility/2006" xmlns:a14="http://schemas.microsoft.com/office/drawing/2010/main">
      <mc:Choice Requires="a14">
        <xdr:graphicFrame macro="">
          <xdr:nvGraphicFramePr>
            <xdr:cNvPr id="15" name="rank">
              <a:extLst>
                <a:ext uri="{FF2B5EF4-FFF2-40B4-BE49-F238E27FC236}">
                  <a16:creationId xmlns:a16="http://schemas.microsoft.com/office/drawing/2014/main" id="{72609666-CA4F-D6AD-9BB7-9A840FCB6511}"/>
                </a:ext>
              </a:extLst>
            </xdr:cNvPr>
            <xdr:cNvGraphicFramePr/>
          </xdr:nvGraphicFramePr>
          <xdr:xfrm>
            <a:off x="0" y="0"/>
            <a:ext cx="0" cy="0"/>
          </xdr:xfrm>
          <a:graphic>
            <a:graphicData uri="http://schemas.microsoft.com/office/drawing/2010/slicer">
              <sle:slicer xmlns:sle="http://schemas.microsoft.com/office/drawing/2010/slicer" name="rank"/>
            </a:graphicData>
          </a:graphic>
        </xdr:graphicFrame>
      </mc:Choice>
      <mc:Fallback xmlns="">
        <xdr:sp macro="" textlink="">
          <xdr:nvSpPr>
            <xdr:cNvPr id="0" name=""/>
            <xdr:cNvSpPr>
              <a:spLocks noTextEdit="1"/>
            </xdr:cNvSpPr>
          </xdr:nvSpPr>
          <xdr:spPr>
            <a:xfrm>
              <a:off x="123826" y="895351"/>
              <a:ext cx="1781174" cy="1438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104776</xdr:colOff>
      <xdr:row>31</xdr:row>
      <xdr:rowOff>142875</xdr:rowOff>
    </xdr:from>
    <xdr:to>
      <xdr:col>3</xdr:col>
      <xdr:colOff>95250</xdr:colOff>
      <xdr:row>39</xdr:row>
      <xdr:rowOff>85724</xdr:rowOff>
    </xdr:to>
    <mc:AlternateContent xmlns:mc="http://schemas.openxmlformats.org/markup-compatibility/2006" xmlns:a14="http://schemas.microsoft.com/office/drawing/2010/main">
      <mc:Choice Requires="a14">
        <xdr:graphicFrame macro="">
          <xdr:nvGraphicFramePr>
            <xdr:cNvPr id="16" name="Top_student">
              <a:extLst>
                <a:ext uri="{FF2B5EF4-FFF2-40B4-BE49-F238E27FC236}">
                  <a16:creationId xmlns:a16="http://schemas.microsoft.com/office/drawing/2014/main" id="{F18D1372-F2B4-793E-46F7-59378CBF111E}"/>
                </a:ext>
              </a:extLst>
            </xdr:cNvPr>
            <xdr:cNvGraphicFramePr/>
          </xdr:nvGraphicFramePr>
          <xdr:xfrm>
            <a:off x="0" y="0"/>
            <a:ext cx="0" cy="0"/>
          </xdr:xfrm>
          <a:graphic>
            <a:graphicData uri="http://schemas.microsoft.com/office/drawing/2010/slicer">
              <sle:slicer xmlns:sle="http://schemas.microsoft.com/office/drawing/2010/slicer" name="Top_student"/>
            </a:graphicData>
          </a:graphic>
        </xdr:graphicFrame>
      </mc:Choice>
      <mc:Fallback xmlns="">
        <xdr:sp macro="" textlink="">
          <xdr:nvSpPr>
            <xdr:cNvPr id="0" name=""/>
            <xdr:cNvSpPr>
              <a:spLocks noTextEdit="1"/>
            </xdr:cNvSpPr>
          </xdr:nvSpPr>
          <xdr:spPr>
            <a:xfrm>
              <a:off x="104776" y="6048375"/>
              <a:ext cx="1819274" cy="1466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23</xdr:row>
      <xdr:rowOff>85725</xdr:rowOff>
    </xdr:from>
    <xdr:to>
      <xdr:col>3</xdr:col>
      <xdr:colOff>114300</xdr:colOff>
      <xdr:row>31</xdr:row>
      <xdr:rowOff>180975</xdr:rowOff>
    </xdr:to>
    <mc:AlternateContent xmlns:mc="http://schemas.openxmlformats.org/markup-compatibility/2006" xmlns:a14="http://schemas.microsoft.com/office/drawing/2010/main">
      <mc:Choice Requires="a14">
        <xdr:graphicFrame macro="">
          <xdr:nvGraphicFramePr>
            <xdr:cNvPr id="17" name="Top_student_score">
              <a:extLst>
                <a:ext uri="{FF2B5EF4-FFF2-40B4-BE49-F238E27FC236}">
                  <a16:creationId xmlns:a16="http://schemas.microsoft.com/office/drawing/2014/main" id="{939BCC48-8181-7463-3F27-FEB35ED1068A}"/>
                </a:ext>
              </a:extLst>
            </xdr:cNvPr>
            <xdr:cNvGraphicFramePr/>
          </xdr:nvGraphicFramePr>
          <xdr:xfrm>
            <a:off x="0" y="0"/>
            <a:ext cx="0" cy="0"/>
          </xdr:xfrm>
          <a:graphic>
            <a:graphicData uri="http://schemas.microsoft.com/office/drawing/2010/slicer">
              <sle:slicer xmlns:sle="http://schemas.microsoft.com/office/drawing/2010/slicer" name="Top_student_score"/>
            </a:graphicData>
          </a:graphic>
        </xdr:graphicFrame>
      </mc:Choice>
      <mc:Fallback xmlns="">
        <xdr:sp macro="" textlink="">
          <xdr:nvSpPr>
            <xdr:cNvPr id="0" name=""/>
            <xdr:cNvSpPr>
              <a:spLocks noTextEdit="1"/>
            </xdr:cNvSpPr>
          </xdr:nvSpPr>
          <xdr:spPr>
            <a:xfrm>
              <a:off x="114300" y="4467225"/>
              <a:ext cx="1828800"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247649</xdr:colOff>
      <xdr:row>4</xdr:row>
      <xdr:rowOff>76199</xdr:rowOff>
    </xdr:from>
    <xdr:to>
      <xdr:col>7</xdr:col>
      <xdr:colOff>323850</xdr:colOff>
      <xdr:row>12</xdr:row>
      <xdr:rowOff>171450</xdr:rowOff>
    </xdr:to>
    <xdr:sp macro="" textlink="">
      <xdr:nvSpPr>
        <xdr:cNvPr id="9" name="Rectangle: Rounded Corners 8">
          <a:extLst>
            <a:ext uri="{FF2B5EF4-FFF2-40B4-BE49-F238E27FC236}">
              <a16:creationId xmlns:a16="http://schemas.microsoft.com/office/drawing/2014/main" id="{48F026DF-859C-4D5D-AF88-696C4750B814}"/>
            </a:ext>
          </a:extLst>
        </xdr:cNvPr>
        <xdr:cNvSpPr/>
      </xdr:nvSpPr>
      <xdr:spPr>
        <a:xfrm>
          <a:off x="2076449" y="838199"/>
          <a:ext cx="2514601" cy="1619251"/>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1">
              <a:solidFill>
                <a:schemeClr val="accent2"/>
              </a:solidFill>
            </a:rPr>
            <a:t>Total_Students</a:t>
          </a:r>
        </a:p>
        <a:p>
          <a:pPr algn="ctr"/>
          <a:endParaRPr lang="en-US" sz="2400" b="1" i="1" u="none" strike="noStrike">
            <a:solidFill>
              <a:schemeClr val="accent2"/>
            </a:solidFill>
            <a:effectLst/>
            <a:latin typeface="+mn-lt"/>
            <a:ea typeface="+mn-ea"/>
            <a:cs typeface="+mn-cs"/>
          </a:endParaRPr>
        </a:p>
        <a:p>
          <a:pPr algn="ctr"/>
          <a:r>
            <a:rPr lang="en-US" sz="2400" b="1" i="1" u="none" strike="noStrike">
              <a:solidFill>
                <a:schemeClr val="accent2"/>
              </a:solidFill>
              <a:effectLst/>
              <a:latin typeface="+mn-lt"/>
              <a:ea typeface="+mn-ea"/>
              <a:cs typeface="+mn-cs"/>
            </a:rPr>
            <a:t>       20</a:t>
          </a:r>
          <a:r>
            <a:rPr lang="en-US" sz="2400" b="1" i="1">
              <a:solidFill>
                <a:schemeClr val="accent2"/>
              </a:solidFill>
              <a:effectLst/>
            </a:rPr>
            <a:t> </a:t>
          </a:r>
          <a:endParaRPr lang="en-US" sz="2400" b="1" i="1">
            <a:solidFill>
              <a:schemeClr val="accent2"/>
            </a:solidFill>
          </a:endParaRPr>
        </a:p>
      </xdr:txBody>
    </xdr:sp>
    <xdr:clientData/>
  </xdr:twoCellAnchor>
  <xdr:twoCellAnchor>
    <xdr:from>
      <xdr:col>3</xdr:col>
      <xdr:colOff>304800</xdr:colOff>
      <xdr:row>13</xdr:row>
      <xdr:rowOff>9525</xdr:rowOff>
    </xdr:from>
    <xdr:to>
      <xdr:col>7</xdr:col>
      <xdr:colOff>381001</xdr:colOff>
      <xdr:row>22</xdr:row>
      <xdr:rowOff>19050</xdr:rowOff>
    </xdr:to>
    <xdr:sp macro="" textlink="">
      <xdr:nvSpPr>
        <xdr:cNvPr id="22" name="Rectangle: Rounded Corners 21">
          <a:extLst>
            <a:ext uri="{FF2B5EF4-FFF2-40B4-BE49-F238E27FC236}">
              <a16:creationId xmlns:a16="http://schemas.microsoft.com/office/drawing/2014/main" id="{0D40B2CE-89A7-41C7-AC9E-A6AA9D17065B}"/>
            </a:ext>
          </a:extLst>
        </xdr:cNvPr>
        <xdr:cNvSpPr/>
      </xdr:nvSpPr>
      <xdr:spPr>
        <a:xfrm>
          <a:off x="2133600" y="2486025"/>
          <a:ext cx="2514601" cy="172402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1">
              <a:solidFill>
                <a:schemeClr val="accent2"/>
              </a:solidFill>
            </a:rPr>
            <a:t>Top_Students</a:t>
          </a:r>
        </a:p>
        <a:p>
          <a:pPr algn="ctr"/>
          <a:r>
            <a:rPr lang="en-US" sz="2000" b="1" i="1" u="none" strike="noStrike">
              <a:solidFill>
                <a:schemeClr val="accent2"/>
              </a:solidFill>
              <a:effectLst/>
              <a:latin typeface="+mn-lt"/>
              <a:ea typeface="+mn-ea"/>
              <a:cs typeface="+mn-cs"/>
            </a:rPr>
            <a:t>fahim</a:t>
          </a:r>
        </a:p>
        <a:p>
          <a:pPr algn="ctr"/>
          <a:r>
            <a:rPr lang="en-US" sz="2000" b="1" i="1" u="none" strike="noStrike">
              <a:solidFill>
                <a:schemeClr val="accent2"/>
              </a:solidFill>
              <a:effectLst/>
              <a:latin typeface="+mn-lt"/>
              <a:ea typeface="+mn-ea"/>
              <a:cs typeface="+mn-cs"/>
            </a:rPr>
            <a:t>nayeem</a:t>
          </a:r>
        </a:p>
        <a:p>
          <a:pPr algn="ctr"/>
          <a:r>
            <a:rPr lang="en-US" sz="2000" b="1" i="1" u="none" strike="noStrike">
              <a:solidFill>
                <a:schemeClr val="accent2"/>
              </a:solidFill>
              <a:effectLst/>
              <a:latin typeface="+mn-lt"/>
              <a:ea typeface="+mn-ea"/>
              <a:cs typeface="+mn-cs"/>
            </a:rPr>
            <a:t>Rana</a:t>
          </a:r>
        </a:p>
        <a:p>
          <a:pPr algn="ctr"/>
          <a:r>
            <a:rPr lang="en-US" sz="2400" b="1" i="1" u="none" strike="noStrike">
              <a:solidFill>
                <a:schemeClr val="accent5"/>
              </a:solidFill>
              <a:effectLst/>
              <a:latin typeface="+mn-lt"/>
              <a:ea typeface="+mn-ea"/>
              <a:cs typeface="+mn-cs"/>
            </a:rPr>
            <a:t>      </a:t>
          </a:r>
          <a:r>
            <a:rPr lang="en-US" sz="2400" b="1" i="1">
              <a:solidFill>
                <a:schemeClr val="accent5"/>
              </a:solidFill>
              <a:effectLst/>
            </a:rPr>
            <a:t> </a:t>
          </a:r>
          <a:endParaRPr lang="en-US" sz="2400" b="1" i="1">
            <a:solidFill>
              <a:schemeClr val="accent5"/>
            </a:solidFill>
          </a:endParaRP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20</xdr:col>
      <xdr:colOff>389049</xdr:colOff>
      <xdr:row>2</xdr:row>
      <xdr:rowOff>120740</xdr:rowOff>
    </xdr:from>
    <xdr:ext cx="184731" cy="264560"/>
    <xdr:sp macro="" textlink="">
      <xdr:nvSpPr>
        <xdr:cNvPr id="2" name="TextBox 1">
          <a:extLst>
            <a:ext uri="{FF2B5EF4-FFF2-40B4-BE49-F238E27FC236}">
              <a16:creationId xmlns:a16="http://schemas.microsoft.com/office/drawing/2014/main" id="{EFFD1258-C6D2-0C9E-ABC4-A73BA97D54FB}"/>
            </a:ext>
          </a:extLst>
        </xdr:cNvPr>
        <xdr:cNvSpPr txBox="1"/>
      </xdr:nvSpPr>
      <xdr:spPr>
        <a:xfrm>
          <a:off x="18325563" y="5097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2</xdr:col>
      <xdr:colOff>323850</xdr:colOff>
      <xdr:row>4</xdr:row>
      <xdr:rowOff>47626</xdr:rowOff>
    </xdr:from>
    <xdr:to>
      <xdr:col>14</xdr:col>
      <xdr:colOff>66675</xdr:colOff>
      <xdr:row>19</xdr:row>
      <xdr:rowOff>19050</xdr:rowOff>
    </xdr:to>
    <xdr:sp macro="" textlink="">
      <xdr:nvSpPr>
        <xdr:cNvPr id="2" name="Rectangle: Rounded Corners 1">
          <a:extLst>
            <a:ext uri="{FF2B5EF4-FFF2-40B4-BE49-F238E27FC236}">
              <a16:creationId xmlns:a16="http://schemas.microsoft.com/office/drawing/2014/main" id="{6286EF2C-3A37-1AF0-5488-B437F9D9FAAB}"/>
            </a:ext>
          </a:extLst>
        </xdr:cNvPr>
        <xdr:cNvSpPr/>
      </xdr:nvSpPr>
      <xdr:spPr>
        <a:xfrm>
          <a:off x="1543050" y="809626"/>
          <a:ext cx="7058025" cy="2828924"/>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76200</xdr:colOff>
      <xdr:row>4</xdr:row>
      <xdr:rowOff>38099</xdr:rowOff>
    </xdr:from>
    <xdr:to>
      <xdr:col>28</xdr:col>
      <xdr:colOff>85725</xdr:colOff>
      <xdr:row>19</xdr:row>
      <xdr:rowOff>85724</xdr:rowOff>
    </xdr:to>
    <xdr:sp macro="" textlink="">
      <xdr:nvSpPr>
        <xdr:cNvPr id="4" name="Rectangle: Rounded Corners 3">
          <a:extLst>
            <a:ext uri="{FF2B5EF4-FFF2-40B4-BE49-F238E27FC236}">
              <a16:creationId xmlns:a16="http://schemas.microsoft.com/office/drawing/2014/main" id="{55DAD1F2-0757-4B77-81F8-97A3D9EB288B}"/>
            </a:ext>
          </a:extLst>
        </xdr:cNvPr>
        <xdr:cNvSpPr/>
      </xdr:nvSpPr>
      <xdr:spPr>
        <a:xfrm>
          <a:off x="10439400" y="800099"/>
          <a:ext cx="6715125" cy="2905125"/>
        </a:xfrm>
        <a:prstGeom prst="roundRect">
          <a:avLst/>
        </a:prstGeom>
        <a:solidFill>
          <a:schemeClr val="accent1">
            <a:lumMod val="5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381000</xdr:colOff>
      <xdr:row>19</xdr:row>
      <xdr:rowOff>76200</xdr:rowOff>
    </xdr:from>
    <xdr:to>
      <xdr:col>16</xdr:col>
      <xdr:colOff>419100</xdr:colOff>
      <xdr:row>38</xdr:row>
      <xdr:rowOff>66675</xdr:rowOff>
    </xdr:to>
    <xdr:sp macro="" textlink="">
      <xdr:nvSpPr>
        <xdr:cNvPr id="6" name="Rectangle: Rounded Corners 5">
          <a:extLst>
            <a:ext uri="{FF2B5EF4-FFF2-40B4-BE49-F238E27FC236}">
              <a16:creationId xmlns:a16="http://schemas.microsoft.com/office/drawing/2014/main" id="{F7A852AB-C019-4AFA-B12D-2E614F230400}"/>
            </a:ext>
          </a:extLst>
        </xdr:cNvPr>
        <xdr:cNvSpPr/>
      </xdr:nvSpPr>
      <xdr:spPr>
        <a:xfrm>
          <a:off x="1600200" y="3695700"/>
          <a:ext cx="8572500" cy="3609975"/>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523876</xdr:colOff>
      <xdr:row>19</xdr:row>
      <xdr:rowOff>161926</xdr:rowOff>
    </xdr:from>
    <xdr:to>
      <xdr:col>28</xdr:col>
      <xdr:colOff>66675</xdr:colOff>
      <xdr:row>38</xdr:row>
      <xdr:rowOff>66676</xdr:rowOff>
    </xdr:to>
    <xdr:sp macro="" textlink="">
      <xdr:nvSpPr>
        <xdr:cNvPr id="8" name="Rectangle: Rounded Corners 7">
          <a:extLst>
            <a:ext uri="{FF2B5EF4-FFF2-40B4-BE49-F238E27FC236}">
              <a16:creationId xmlns:a16="http://schemas.microsoft.com/office/drawing/2014/main" id="{FA8DDEDA-37C2-4DA7-9CC2-9218B8BFA1DD}"/>
            </a:ext>
          </a:extLst>
        </xdr:cNvPr>
        <xdr:cNvSpPr/>
      </xdr:nvSpPr>
      <xdr:spPr>
        <a:xfrm>
          <a:off x="10277476" y="3781426"/>
          <a:ext cx="6857999" cy="3524250"/>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0</xdr:row>
      <xdr:rowOff>19050</xdr:rowOff>
    </xdr:from>
    <xdr:to>
      <xdr:col>2</xdr:col>
      <xdr:colOff>276225</xdr:colOff>
      <xdr:row>38</xdr:row>
      <xdr:rowOff>0</xdr:rowOff>
    </xdr:to>
    <xdr:sp macro="" textlink="">
      <xdr:nvSpPr>
        <xdr:cNvPr id="10" name="Rectangle: Rounded Corners 9">
          <a:extLst>
            <a:ext uri="{FF2B5EF4-FFF2-40B4-BE49-F238E27FC236}">
              <a16:creationId xmlns:a16="http://schemas.microsoft.com/office/drawing/2014/main" id="{58C7C389-B6C6-4CF0-9C4D-2793A49C8F36}"/>
            </a:ext>
          </a:extLst>
        </xdr:cNvPr>
        <xdr:cNvSpPr/>
      </xdr:nvSpPr>
      <xdr:spPr>
        <a:xfrm>
          <a:off x="76200" y="19050"/>
          <a:ext cx="1419225" cy="7219950"/>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381000</xdr:colOff>
      <xdr:row>0</xdr:row>
      <xdr:rowOff>47625</xdr:rowOff>
    </xdr:from>
    <xdr:to>
      <xdr:col>27</xdr:col>
      <xdr:colOff>581025</xdr:colOff>
      <xdr:row>4</xdr:row>
      <xdr:rowOff>0</xdr:rowOff>
    </xdr:to>
    <xdr:sp macro="" textlink="">
      <xdr:nvSpPr>
        <xdr:cNvPr id="11" name="Rectangle: Rounded Corners 10">
          <a:extLst>
            <a:ext uri="{FF2B5EF4-FFF2-40B4-BE49-F238E27FC236}">
              <a16:creationId xmlns:a16="http://schemas.microsoft.com/office/drawing/2014/main" id="{6FB47C58-B4F1-0625-AA1E-2E7C59968FFC}"/>
            </a:ext>
          </a:extLst>
        </xdr:cNvPr>
        <xdr:cNvSpPr/>
      </xdr:nvSpPr>
      <xdr:spPr>
        <a:xfrm>
          <a:off x="1600200" y="47625"/>
          <a:ext cx="15440025" cy="714375"/>
        </a:xfrm>
        <a:prstGeom prst="roundRect">
          <a:avLst/>
        </a:prstGeom>
        <a:solidFill>
          <a:schemeClr val="accent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180974</xdr:colOff>
      <xdr:row>21</xdr:row>
      <xdr:rowOff>123824</xdr:rowOff>
    </xdr:from>
    <xdr:to>
      <xdr:col>27</xdr:col>
      <xdr:colOff>561975</xdr:colOff>
      <xdr:row>37</xdr:row>
      <xdr:rowOff>66673</xdr:rowOff>
    </xdr:to>
    <xdr:graphicFrame macro="">
      <xdr:nvGraphicFramePr>
        <xdr:cNvPr id="13" name="Chart 12">
          <a:extLst>
            <a:ext uri="{FF2B5EF4-FFF2-40B4-BE49-F238E27FC236}">
              <a16:creationId xmlns:a16="http://schemas.microsoft.com/office/drawing/2014/main" id="{8EA94AD5-1B8B-4217-ACB8-93DFFD6AC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266699</xdr:colOff>
      <xdr:row>5</xdr:row>
      <xdr:rowOff>19049</xdr:rowOff>
    </xdr:from>
    <xdr:to>
      <xdr:col>27</xdr:col>
      <xdr:colOff>352424</xdr:colOff>
      <xdr:row>19</xdr:row>
      <xdr:rowOff>0</xdr:rowOff>
    </xdr:to>
    <xdr:graphicFrame macro="">
      <xdr:nvGraphicFramePr>
        <xdr:cNvPr id="15" name="Chart 14">
          <a:extLst>
            <a:ext uri="{FF2B5EF4-FFF2-40B4-BE49-F238E27FC236}">
              <a16:creationId xmlns:a16="http://schemas.microsoft.com/office/drawing/2014/main" id="{2A4DE7B2-8660-4517-8995-36965C146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581026</xdr:colOff>
      <xdr:row>20</xdr:row>
      <xdr:rowOff>104775</xdr:rowOff>
    </xdr:from>
    <xdr:to>
      <xdr:col>16</xdr:col>
      <xdr:colOff>190500</xdr:colOff>
      <xdr:row>37</xdr:row>
      <xdr:rowOff>104775</xdr:rowOff>
    </xdr:to>
    <xdr:graphicFrame macro="">
      <xdr:nvGraphicFramePr>
        <xdr:cNvPr id="17" name="Chart 16">
          <a:extLst>
            <a:ext uri="{FF2B5EF4-FFF2-40B4-BE49-F238E27FC236}">
              <a16:creationId xmlns:a16="http://schemas.microsoft.com/office/drawing/2014/main" id="{5F4E7177-6A39-4496-B69F-E28AAFB22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542925</xdr:colOff>
      <xdr:row>5</xdr:row>
      <xdr:rowOff>0</xdr:rowOff>
    </xdr:from>
    <xdr:to>
      <xdr:col>13</xdr:col>
      <xdr:colOff>438151</xdr:colOff>
      <xdr:row>18</xdr:row>
      <xdr:rowOff>95250</xdr:rowOff>
    </xdr:to>
    <xdr:graphicFrame macro="">
      <xdr:nvGraphicFramePr>
        <xdr:cNvPr id="18" name="Chart 17">
          <a:extLst>
            <a:ext uri="{FF2B5EF4-FFF2-40B4-BE49-F238E27FC236}">
              <a16:creationId xmlns:a16="http://schemas.microsoft.com/office/drawing/2014/main" id="{73B716FB-BD2B-49E1-9B86-0648E1AA7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133350</xdr:colOff>
      <xdr:row>24</xdr:row>
      <xdr:rowOff>171451</xdr:rowOff>
    </xdr:from>
    <xdr:to>
      <xdr:col>2</xdr:col>
      <xdr:colOff>142874</xdr:colOff>
      <xdr:row>31</xdr:row>
      <xdr:rowOff>76200</xdr:rowOff>
    </xdr:to>
    <mc:AlternateContent xmlns:mc="http://schemas.openxmlformats.org/markup-compatibility/2006" xmlns:a14="http://schemas.microsoft.com/office/drawing/2010/main">
      <mc:Choice Requires="a14">
        <xdr:graphicFrame macro="">
          <xdr:nvGraphicFramePr>
            <xdr:cNvPr id="20" name="Total_employee">
              <a:extLst>
                <a:ext uri="{FF2B5EF4-FFF2-40B4-BE49-F238E27FC236}">
                  <a16:creationId xmlns:a16="http://schemas.microsoft.com/office/drawing/2014/main" id="{C941376F-088E-4423-B4EC-D7BB0620B507}"/>
                </a:ext>
              </a:extLst>
            </xdr:cNvPr>
            <xdr:cNvGraphicFramePr/>
          </xdr:nvGraphicFramePr>
          <xdr:xfrm>
            <a:off x="0" y="0"/>
            <a:ext cx="0" cy="0"/>
          </xdr:xfrm>
          <a:graphic>
            <a:graphicData uri="http://schemas.microsoft.com/office/drawing/2010/slicer">
              <sle:slicer xmlns:sle="http://schemas.microsoft.com/office/drawing/2010/slicer" name="Total_employee"/>
            </a:graphicData>
          </a:graphic>
        </xdr:graphicFrame>
      </mc:Choice>
      <mc:Fallback xmlns="">
        <xdr:sp macro="" textlink="">
          <xdr:nvSpPr>
            <xdr:cNvPr id="0" name=""/>
            <xdr:cNvSpPr>
              <a:spLocks noTextEdit="1"/>
            </xdr:cNvSpPr>
          </xdr:nvSpPr>
          <xdr:spPr>
            <a:xfrm>
              <a:off x="133350" y="4743451"/>
              <a:ext cx="1228724" cy="1238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31</xdr:row>
      <xdr:rowOff>66676</xdr:rowOff>
    </xdr:from>
    <xdr:to>
      <xdr:col>2</xdr:col>
      <xdr:colOff>142875</xdr:colOff>
      <xdr:row>37</xdr:row>
      <xdr:rowOff>85726</xdr:rowOff>
    </xdr:to>
    <mc:AlternateContent xmlns:mc="http://schemas.openxmlformats.org/markup-compatibility/2006" xmlns:a14="http://schemas.microsoft.com/office/drawing/2010/main">
      <mc:Choice Requires="a14">
        <xdr:graphicFrame macro="">
          <xdr:nvGraphicFramePr>
            <xdr:cNvPr id="22" name="Top_10_performence">
              <a:extLst>
                <a:ext uri="{FF2B5EF4-FFF2-40B4-BE49-F238E27FC236}">
                  <a16:creationId xmlns:a16="http://schemas.microsoft.com/office/drawing/2014/main" id="{B5F1A581-2379-4D5C-88EA-B416F5B3096F}"/>
                </a:ext>
              </a:extLst>
            </xdr:cNvPr>
            <xdr:cNvGraphicFramePr/>
          </xdr:nvGraphicFramePr>
          <xdr:xfrm>
            <a:off x="0" y="0"/>
            <a:ext cx="0" cy="0"/>
          </xdr:xfrm>
          <a:graphic>
            <a:graphicData uri="http://schemas.microsoft.com/office/drawing/2010/slicer">
              <sle:slicer xmlns:sle="http://schemas.microsoft.com/office/drawing/2010/slicer" name="Top_10_performence"/>
            </a:graphicData>
          </a:graphic>
        </xdr:graphicFrame>
      </mc:Choice>
      <mc:Fallback xmlns="">
        <xdr:sp macro="" textlink="">
          <xdr:nvSpPr>
            <xdr:cNvPr id="0" name=""/>
            <xdr:cNvSpPr>
              <a:spLocks noTextEdit="1"/>
            </xdr:cNvSpPr>
          </xdr:nvSpPr>
          <xdr:spPr>
            <a:xfrm>
              <a:off x="171450" y="5972176"/>
              <a:ext cx="1190625"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0</xdr:row>
      <xdr:rowOff>114301</xdr:rowOff>
    </xdr:from>
    <xdr:to>
      <xdr:col>2</xdr:col>
      <xdr:colOff>142875</xdr:colOff>
      <xdr:row>12</xdr:row>
      <xdr:rowOff>104775</xdr:rowOff>
    </xdr:to>
    <mc:AlternateContent xmlns:mc="http://schemas.openxmlformats.org/markup-compatibility/2006" xmlns:a14="http://schemas.microsoft.com/office/drawing/2010/main">
      <mc:Choice Requires="a14">
        <xdr:graphicFrame macro="">
          <xdr:nvGraphicFramePr>
            <xdr:cNvPr id="23" name="Department 2">
              <a:extLst>
                <a:ext uri="{FF2B5EF4-FFF2-40B4-BE49-F238E27FC236}">
                  <a16:creationId xmlns:a16="http://schemas.microsoft.com/office/drawing/2014/main" id="{110A4E81-D6F3-45D5-BCD9-182828F4371E}"/>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33350" y="114301"/>
              <a:ext cx="1228725" cy="2276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11</xdr:row>
      <xdr:rowOff>152400</xdr:rowOff>
    </xdr:from>
    <xdr:to>
      <xdr:col>2</xdr:col>
      <xdr:colOff>142875</xdr:colOff>
      <xdr:row>25</xdr:row>
      <xdr:rowOff>9525</xdr:rowOff>
    </xdr:to>
    <mc:AlternateContent xmlns:mc="http://schemas.openxmlformats.org/markup-compatibility/2006" xmlns:a14="http://schemas.microsoft.com/office/drawing/2010/main">
      <mc:Choice Requires="a14">
        <xdr:graphicFrame macro="">
          <xdr:nvGraphicFramePr>
            <xdr:cNvPr id="24" name="Months (hire_date)">
              <a:extLst>
                <a:ext uri="{FF2B5EF4-FFF2-40B4-BE49-F238E27FC236}">
                  <a16:creationId xmlns:a16="http://schemas.microsoft.com/office/drawing/2014/main" id="{2B55DBCC-DCEA-4604-95AF-D5E295761951}"/>
                </a:ext>
              </a:extLst>
            </xdr:cNvPr>
            <xdr:cNvGraphicFramePr/>
          </xdr:nvGraphicFramePr>
          <xdr:xfrm>
            <a:off x="0" y="0"/>
            <a:ext cx="0" cy="0"/>
          </xdr:xfrm>
          <a:graphic>
            <a:graphicData uri="http://schemas.microsoft.com/office/drawing/2010/slicer">
              <sle:slicer xmlns:sle="http://schemas.microsoft.com/office/drawing/2010/slicer" name="Months (hire_date)"/>
            </a:graphicData>
          </a:graphic>
        </xdr:graphicFrame>
      </mc:Choice>
      <mc:Fallback xmlns="">
        <xdr:sp macro="" textlink="">
          <xdr:nvSpPr>
            <xdr:cNvPr id="0" name=""/>
            <xdr:cNvSpPr>
              <a:spLocks noTextEdit="1"/>
            </xdr:cNvSpPr>
          </xdr:nvSpPr>
          <xdr:spPr>
            <a:xfrm>
              <a:off x="123825" y="2247900"/>
              <a:ext cx="12382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438150</xdr:colOff>
      <xdr:row>0</xdr:row>
      <xdr:rowOff>76200</xdr:rowOff>
    </xdr:from>
    <xdr:to>
      <xdr:col>27</xdr:col>
      <xdr:colOff>542925</xdr:colOff>
      <xdr:row>3</xdr:row>
      <xdr:rowOff>152400</xdr:rowOff>
    </xdr:to>
    <xdr:sp macro="" textlink="">
      <xdr:nvSpPr>
        <xdr:cNvPr id="25" name="TextBox 24">
          <a:extLst>
            <a:ext uri="{FF2B5EF4-FFF2-40B4-BE49-F238E27FC236}">
              <a16:creationId xmlns:a16="http://schemas.microsoft.com/office/drawing/2014/main" id="{91E1BD43-E70D-C65E-8F61-D9469F8523EE}"/>
            </a:ext>
          </a:extLst>
        </xdr:cNvPr>
        <xdr:cNvSpPr txBox="1"/>
      </xdr:nvSpPr>
      <xdr:spPr>
        <a:xfrm>
          <a:off x="1657350" y="76200"/>
          <a:ext cx="15344775" cy="64770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i="1">
              <a:solidFill>
                <a:schemeClr val="tx1"/>
              </a:solidFill>
            </a:rPr>
            <a:t>HR Analysis</a:t>
          </a:r>
          <a:r>
            <a:rPr lang="en-US" sz="3600" b="1" i="1" baseline="0">
              <a:solidFill>
                <a:schemeClr val="tx1"/>
              </a:solidFill>
            </a:rPr>
            <a:t> Employee update Dashboard</a:t>
          </a:r>
          <a:endParaRPr lang="en-US" sz="3600" b="1" i="1">
            <a:solidFill>
              <a:schemeClr val="tx1"/>
            </a:solidFill>
          </a:endParaRPr>
        </a:p>
      </xdr:txBody>
    </xdr:sp>
    <xdr:clientData/>
  </xdr:twoCellAnchor>
  <xdr:oneCellAnchor>
    <xdr:from>
      <xdr:col>14</xdr:col>
      <xdr:colOff>142875</xdr:colOff>
      <xdr:row>5</xdr:row>
      <xdr:rowOff>104775</xdr:rowOff>
    </xdr:from>
    <xdr:ext cx="1704976" cy="66675"/>
    <xdr:sp macro="" textlink="">
      <xdr:nvSpPr>
        <xdr:cNvPr id="3" name="Rectangle 2">
          <a:extLst>
            <a:ext uri="{FF2B5EF4-FFF2-40B4-BE49-F238E27FC236}">
              <a16:creationId xmlns:a16="http://schemas.microsoft.com/office/drawing/2014/main" id="{4737874F-45CD-11BA-3CC9-C1D2635D34C3}"/>
            </a:ext>
          </a:extLst>
        </xdr:cNvPr>
        <xdr:cNvSpPr/>
      </xdr:nvSpPr>
      <xdr:spPr>
        <a:xfrm>
          <a:off x="8677275" y="1057275"/>
          <a:ext cx="1704976" cy="66675"/>
        </a:xfrm>
        <a:prstGeom prst="rect">
          <a:avLst/>
        </a:prstGeom>
        <a:noFill/>
      </xdr:spPr>
      <xdr:txBody>
        <a:bodyPr wrap="none" lIns="91440" tIns="45720" rIns="91440" bIns="45720" anchor="ctr">
          <a:noAutofit/>
        </a:bodyPr>
        <a:lstStyle/>
        <a:p>
          <a:pPr algn="l"/>
          <a:r>
            <a:rPr lang="en-US" sz="2000" b="1" i="0" u="none" strike="noStrike">
              <a:effectLst>
                <a:outerShdw blurRad="50800" dist="50800" dir="5400000" algn="ctr" rotWithShape="0">
                  <a:schemeClr val="bg1"/>
                </a:outerShdw>
              </a:effectLst>
              <a:latin typeface="+mn-lt"/>
              <a:ea typeface="+mn-ea"/>
              <a:cs typeface="+mn-cs"/>
            </a:rPr>
            <a:t>422766.667</a:t>
          </a:r>
          <a:r>
            <a:rPr lang="en-US" sz="13800" b="1">
              <a:effectLst/>
            </a:rPr>
            <a:t> </a:t>
          </a:r>
          <a:endParaRPr lang="en-US" sz="13800" b="1"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2" Type="http://schemas.openxmlformats.org/officeDocument/2006/relationships/externalLinkPath" Target="/abf4539c0bc0031b/Desktop/New%20Microsoft%20Excel%20Worksheet.xlsx" TargetMode="External"/><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5950.401024189814" createdVersion="8" refreshedVersion="8" minRefreshableVersion="3" recordCount="10" xr:uid="{E483C2FA-71A3-413B-BB2B-F3E6C279C792}">
  <cacheSource type="worksheet">
    <worksheetSource ref="A1:H11" sheet="Sheet6"/>
  </cacheSource>
  <cacheFields count="8">
    <cacheField name="SL No" numFmtId="0">
      <sharedItems containsSemiMixedTypes="0" containsString="0" containsNumber="1" containsInteger="1" minValue="1" maxValue="10"/>
    </cacheField>
    <cacheField name="Name" numFmtId="0">
      <sharedItems count="10">
        <s v="Abu Bakker"/>
        <s v="Siddik"/>
        <s v="Shoan"/>
        <s v="Rana"/>
        <s v="Shakib"/>
        <s v="Somun"/>
        <s v="Arafat"/>
        <s v="Tamim"/>
        <s v="Rakib"/>
        <s v="Rohan"/>
      </sharedItems>
    </cacheField>
    <cacheField name="Month" numFmtId="0">
      <sharedItems count="10">
        <s v="January"/>
        <s v="February"/>
        <s v="March"/>
        <s v="April"/>
        <s v="May"/>
        <s v="June"/>
        <s v="July"/>
        <s v="August"/>
        <s v="September"/>
        <s v="October"/>
      </sharedItems>
    </cacheField>
    <cacheField name="ID " numFmtId="0">
      <sharedItems containsSemiMixedTypes="0" containsString="0" containsNumber="1" containsInteger="1" minValue="5437" maxValue="9388"/>
    </cacheField>
    <cacheField name="Day" numFmtId="0">
      <sharedItems count="7">
        <s v="Saturday"/>
        <s v="Sunday"/>
        <s v="Monday"/>
        <s v="Tuesday"/>
        <s v="Wednesday"/>
        <s v="Thursday"/>
        <s v="Friday"/>
      </sharedItems>
    </cacheField>
    <cacheField name="Sales Value1" numFmtId="164">
      <sharedItems containsSemiMixedTypes="0" containsString="0" containsNumber="1" containsInteger="1" minValue="200" maxValue="1100"/>
    </cacheField>
    <cacheField name="Sales Value2" numFmtId="164">
      <sharedItems containsSemiMixedTypes="0" containsString="0" containsNumber="1" containsInteger="1" minValue="1000" maxValue="10000"/>
    </cacheField>
    <cacheField name="Bonus(yes/No)" numFmtId="0">
      <sharedItems containsMixedTypes="1" containsNumber="1" containsInteger="1" minValue="0" maxValue="0" count="3">
        <n v="0"/>
        <s v="yes"/>
        <s v="No"/>
      </sharedItems>
    </cacheField>
  </cacheFields>
  <extLst>
    <ext xmlns:x14="http://schemas.microsoft.com/office/spreadsheetml/2009/9/main" uri="{725AE2AE-9491-48be-B2B4-4EB974FC3084}">
      <x14:pivotCacheDefinition pivotCacheId="18741232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7.680376851851" createdVersion="8" refreshedVersion="8" minRefreshableVersion="3" recordCount="20" xr:uid="{FD406AD1-3C8D-445E-A7F8-50FAB3EF1CA6}">
  <cacheSource type="worksheet">
    <worksheetSource ref="A1:I21" sheet="Sales &amp; revenue"/>
  </cacheSource>
  <cacheFields count="9">
    <cacheField name="NAME" numFmtId="0">
      <sharedItems count="20">
        <s v="Arafat"/>
        <s v="Rafi"/>
        <s v="Sumi"/>
        <s v="Shakib"/>
        <s v="Sumon"/>
        <s v="Rana"/>
        <s v="Nafiz"/>
        <s v="Sheol"/>
        <s v="Abu Saib"/>
        <s v="Tamim"/>
        <s v="Rahim"/>
        <s v="Karim"/>
        <s v="Hasan"/>
        <s v="Imran"/>
        <s v="Sabbir"/>
        <s v="Nayeem"/>
        <s v="Fahim"/>
        <s v="Siam"/>
        <s v="Mahmud"/>
        <s v="Jubayer"/>
      </sharedItems>
    </cacheField>
    <cacheField name="subject_name" numFmtId="0">
      <sharedItems count="20">
        <s v="Mathematics"/>
        <s v="English"/>
        <s v="Physics"/>
        <s v="Chemistry"/>
        <s v="Biology"/>
        <s v="Computer Science"/>
        <s v="Data Science"/>
        <s v="Statistics"/>
        <s v="Economics"/>
        <s v="Accounting"/>
        <s v="Management"/>
        <s v="Finance"/>
        <s v="Marketing"/>
        <s v="History"/>
        <s v="Geography"/>
        <s v="ICT"/>
        <s v="Programming"/>
        <s v="AI Basics"/>
        <s v="Machine Learning"/>
        <s v="Database Systems"/>
      </sharedItems>
    </cacheField>
    <cacheField name="marks" numFmtId="0">
      <sharedItems containsSemiMixedTypes="0" containsString="0" containsNumber="1" containsInteger="1" minValue="67" maxValue="95"/>
    </cacheField>
    <cacheField name="total_marks" numFmtId="0">
      <sharedItems containsSemiMixedTypes="0" containsString="0" containsNumber="1" containsInteger="1" minValue="67" maxValue="95"/>
    </cacheField>
    <cacheField name="rank" numFmtId="0">
      <sharedItems containsSemiMixedTypes="0" containsString="0" containsNumber="1" containsInteger="1" minValue="1" maxValue="20" count="19">
        <n v="1"/>
        <n v="2"/>
        <n v="3"/>
        <n v="4"/>
        <n v="6"/>
        <n v="7"/>
        <n v="8"/>
        <n v="9"/>
        <n v="10"/>
        <n v="11"/>
        <n v="12"/>
        <n v="13"/>
        <n v="14"/>
        <n v="15"/>
        <n v="16"/>
        <n v="17"/>
        <n v="18"/>
        <n v="19"/>
        <n v="20"/>
      </sharedItems>
    </cacheField>
    <cacheField name="Top_student" numFmtId="0">
      <sharedItems containsBlank="1" count="4">
        <s v="Fahim"/>
        <s v="Nayeem"/>
        <s v="Rana"/>
        <m/>
      </sharedItems>
    </cacheField>
    <cacheField name="Top_student_score" numFmtId="0">
      <sharedItems containsString="0" containsBlank="1" containsNumber="1" containsInteger="1" minValue="91" maxValue="95" count="4">
        <n v="95"/>
        <n v="92"/>
        <n v="91"/>
        <m/>
      </sharedItems>
    </cacheField>
    <cacheField name="Avg_marks" numFmtId="0">
      <sharedItems containsSemiMixedTypes="0" containsString="0" containsNumber="1" containsInteger="1" minValue="67" maxValue="95"/>
    </cacheField>
    <cacheField name="contribution_percentage" numFmtId="0">
      <sharedItems containsSemiMixedTypes="0" containsString="0" containsNumber="1" minValue="4.13" maxValue="5.85"/>
    </cacheField>
  </cacheFields>
  <extLst>
    <ext xmlns:x14="http://schemas.microsoft.com/office/spreadsheetml/2009/9/main" uri="{725AE2AE-9491-48be-B2B4-4EB974FC3084}">
      <x14:pivotCacheDefinition pivotCacheId="65641270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40.902150578702" createdVersion="8" refreshedVersion="8" minRefreshableVersion="3" recordCount="20" xr:uid="{D6BB9508-E722-49BB-8A12-5ECAFA2BB06C}">
  <cacheSource type="worksheet">
    <worksheetSource ref="A1:G21" sheet="sales"/>
  </cacheSource>
  <cacheFields count="9">
    <cacheField name="Customer_name" numFmtId="0">
      <sharedItems count="18">
        <s v="Rahim"/>
        <s v="Karim"/>
        <s v="Hasan"/>
        <s v="Nafiz"/>
        <s v="Shakib"/>
        <s v="Sumon"/>
        <s v="Rana"/>
        <s v="Fahim"/>
        <s v="Nayeem"/>
        <s v="Sabbir"/>
        <s v="Arafat"/>
        <s v="Rohit"/>
        <s v="Amit"/>
        <s v="John"/>
        <s v="Michael"/>
        <s v="David"/>
        <s v="Daniel"/>
        <s v="Alex"/>
      </sharedItems>
    </cacheField>
    <cacheField name="country" numFmtId="0">
      <sharedItems count="5">
        <s v="Bangladesh"/>
        <s v="India"/>
        <s v="USA"/>
        <s v="UK"/>
        <s v="Canada"/>
      </sharedItems>
    </cacheField>
    <cacheField name="product_name," numFmtId="0">
      <sharedItems count="10">
        <s v="Laptop"/>
        <s v="Headphones"/>
        <s v="Smartphone"/>
        <s v="Bluetooth Speaker"/>
        <s v="Smart Watch"/>
        <s v="Office Chair"/>
        <s v="Study Table"/>
        <s v="Sofa Set"/>
        <s v="Bed"/>
        <s v="Bookshelf"/>
      </sharedItems>
    </cacheField>
    <cacheField name="category" numFmtId="0">
      <sharedItems/>
    </cacheField>
    <cacheField name="price" numFmtId="0">
      <sharedItems containsSemiMixedTypes="0" containsString="0" containsNumber="1" containsInteger="1" minValue="3500" maxValue="75000"/>
    </cacheField>
    <cacheField name="order_date" numFmtId="14">
      <sharedItems containsSemiMixedTypes="0" containsNonDate="0" containsDate="1" containsString="0" minDate="2024-01-05T00:00:00" maxDate="2024-04-13T00:00:00" count="18">
        <d v="2024-01-05T00:00:00"/>
        <d v="2024-01-08T00:00:00"/>
        <d v="2024-01-12T00:00:00"/>
        <d v="2024-01-15T00:00:00"/>
        <d v="2024-01-18T00:00:00"/>
        <d v="2024-02-02T00:00:00"/>
        <d v="2024-02-06T00:00:00"/>
        <d v="2024-02-10T00:00:00"/>
        <d v="2024-02-14T00:00:00"/>
        <d v="2024-02-18T00:00:00"/>
        <d v="2024-03-03T00:00:00"/>
        <d v="2024-03-07T00:00:00"/>
        <d v="2024-03-12T00:00:00"/>
        <d v="2024-03-16T00:00:00"/>
        <d v="2024-03-20T00:00:00"/>
        <d v="2024-04-04T00:00:00"/>
        <d v="2024-04-08T00:00:00"/>
        <d v="2024-04-12T00:00:00"/>
      </sharedItems>
      <fieldGroup par="8"/>
    </cacheField>
    <cacheField name="quanatity" numFmtId="0">
      <sharedItems containsSemiMixedTypes="0" containsString="0" containsNumber="1" containsInteger="1" minValue="1" maxValue="5"/>
    </cacheField>
    <cacheField name="Days (order_date)" numFmtId="0" databaseField="0">
      <fieldGroup base="5">
        <rangePr groupBy="days" startDate="2024-01-05T00:00:00" endDate="2024-04-13T00:00:00"/>
        <groupItems count="368">
          <s v="&lt;1/5/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13/2024"/>
        </groupItems>
      </fieldGroup>
    </cacheField>
    <cacheField name="Months (order_date)" numFmtId="0" databaseField="0">
      <fieldGroup base="5">
        <rangePr groupBy="months" startDate="2024-01-05T00:00:00" endDate="2024-04-13T00:00:00"/>
        <groupItems count="14">
          <s v="&lt;1/5/2024"/>
          <s v="Jan"/>
          <s v="Feb"/>
          <s v="Mar"/>
          <s v="Apr"/>
          <s v="May"/>
          <s v="Jun"/>
          <s v="Jul"/>
          <s v="Aug"/>
          <s v="Sep"/>
          <s v="Oct"/>
          <s v="Nov"/>
          <s v="Dec"/>
          <s v="&gt;4/13/2024"/>
        </groupItems>
      </fieldGroup>
    </cacheField>
  </cacheFields>
  <extLst>
    <ext xmlns:x14="http://schemas.microsoft.com/office/spreadsheetml/2009/9/main" uri="{725AE2AE-9491-48be-B2B4-4EB974FC3084}">
      <x14:pivotCacheDefinition pivotCacheId="90213874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45.334460995371" createdVersion="8" refreshedVersion="8" minRefreshableVersion="3" recordCount="47" xr:uid="{5D9FD96F-99A6-44ED-B45D-F8D75DDF87BA}">
  <cacheSource type="worksheet">
    <worksheetSource ref="A1:L48" sheet="Sheet11"/>
  </cacheSource>
  <cacheFields count="12">
    <cacheField name="name" numFmtId="0">
      <sharedItems count="16">
        <s v="Shakib"/>
        <s v="Rana"/>
        <s v="Fahim"/>
        <s v="Nayeem"/>
        <s v="Sumon"/>
        <s v="Hasan"/>
        <s v="Sabbir"/>
        <s v="Rafi"/>
        <s v="Arif"/>
        <s v="Mahmud"/>
        <s v="Imran"/>
        <s v="Nahid"/>
        <s v="Saif"/>
        <s v="Tamim"/>
        <s v="Siam"/>
        <s v="Foysal"/>
      </sharedItems>
    </cacheField>
    <cacheField name="Subject_name" numFmtId="0">
      <sharedItems/>
    </cacheField>
    <cacheField name="marks" numFmtId="0">
      <sharedItems containsSemiMixedTypes="0" containsString="0" containsNumber="1" containsInteger="1" minValue="65" maxValue="95"/>
    </cacheField>
    <cacheField name="name2" numFmtId="0">
      <sharedItems containsBlank="1" count="4">
        <s v="Sabbir"/>
        <s v="Siam"/>
        <s v="Fahim"/>
        <m/>
      </sharedItems>
    </cacheField>
    <cacheField name="Top_students" numFmtId="0">
      <sharedItems containsString="0" containsBlank="1" containsNumber="1" containsInteger="1" minValue="272" maxValue="277"/>
    </cacheField>
    <cacheField name="subject_name2" numFmtId="0">
      <sharedItems containsBlank="1" count="4">
        <s v="Bangla"/>
        <s v="English"/>
        <s v="Mathematics"/>
        <m/>
      </sharedItems>
    </cacheField>
    <cacheField name="avg_marks" numFmtId="0">
      <sharedItems containsString="0" containsBlank="1" containsNumber="1" minValue="77.9375" maxValue="84.4"/>
    </cacheField>
    <cacheField name="name3" numFmtId="0">
      <sharedItems containsBlank="1" count="17">
        <s v="Sabbir"/>
        <s v="Siam"/>
        <s v="Fahim"/>
        <s v="Mahmud"/>
        <s v="Shakib"/>
        <s v="Nahid"/>
        <s v="Sumon"/>
        <s v="Saif"/>
        <s v="Rafi"/>
        <s v="Tamim"/>
        <s v="Rana"/>
        <s v="Arif"/>
        <s v="Hasan"/>
        <s v="Nayeem"/>
        <s v="Imran"/>
        <s v="Foysal"/>
        <m/>
      </sharedItems>
    </cacheField>
    <cacheField name="total_marks" numFmtId="0">
      <sharedItems containsString="0" containsBlank="1" containsNumber="1" containsInteger="1" minValue="138" maxValue="277"/>
    </cacheField>
    <cacheField name="student_rank" numFmtId="0">
      <sharedItems containsString="0" containsBlank="1" containsNumber="1" containsInteger="1" minValue="1" maxValue="16" count="15">
        <n v="1"/>
        <n v="2"/>
        <n v="3"/>
        <n v="4"/>
        <n v="5"/>
        <n v="8"/>
        <n v="9"/>
        <n v="10"/>
        <n v="11"/>
        <n v="12"/>
        <n v="13"/>
        <n v="14"/>
        <n v="15"/>
        <n v="16"/>
        <m/>
      </sharedItems>
    </cacheField>
    <cacheField name="result" numFmtId="0">
      <sharedItems containsBlank="1"/>
    </cacheField>
    <cacheField name="percentage" numFmtId="0">
      <sharedItems containsString="0" containsBlank="1" containsNumber="1" containsInteger="1" minValue="100" maxValue="100"/>
    </cacheField>
  </cacheFields>
  <extLst>
    <ext xmlns:x14="http://schemas.microsoft.com/office/spreadsheetml/2009/9/main" uri="{725AE2AE-9491-48be-B2B4-4EB974FC3084}">
      <x14:pivotCacheDefinition pivotCacheId="48310774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54.94577395833" createdVersion="8" refreshedVersion="8" minRefreshableVersion="3" recordCount="25" xr:uid="{A3E839B8-20A1-44F8-A67E-92D9AB62FB8C}">
  <cacheSource type="worksheet">
    <worksheetSource ref="A1:N26" sheet="HR"/>
  </cacheSource>
  <cacheFields count="14">
    <cacheField name="emp_name" numFmtId="0">
      <sharedItems count="5">
        <s v="Rahim"/>
        <s v="Karim"/>
        <s v="Ayesha"/>
        <s v="Nusrat"/>
        <s v="Sabbir"/>
      </sharedItems>
    </cacheField>
    <cacheField name="gender" numFmtId="0">
      <sharedItems/>
    </cacheField>
    <cacheField name="Department_name" numFmtId="0">
      <sharedItems containsBlank="1" count="6">
        <s v="Management"/>
        <s v="Human Resources"/>
        <s v="IT"/>
        <s v="Finance"/>
        <s v="Analytics"/>
        <m/>
      </sharedItems>
    </cacheField>
    <cacheField name="age" numFmtId="0">
      <sharedItems containsSemiMixedTypes="0" containsString="0" containsNumber="1" containsInteger="1" minValue="26" maxValue="35"/>
    </cacheField>
    <cacheField name="job_role" numFmtId="0">
      <sharedItems/>
    </cacheField>
    <cacheField name="Hire_date" numFmtId="14">
      <sharedItems containsSemiMixedTypes="0" containsNonDate="0" containsDate="1" containsString="0" minDate="2018-05-18T00:00:00" maxDate="2022-01-21T00:00:00"/>
    </cacheField>
    <cacheField name="Salary" numFmtId="0">
      <sharedItems containsSemiMixedTypes="0" containsString="0" containsNumber="1" containsInteger="1" minValue="42000" maxValue="80000"/>
    </cacheField>
    <cacheField name="performance_rating" numFmtId="0">
      <sharedItems containsSemiMixedTypes="0" containsString="0" containsNumber="1" containsInteger="1" minValue="3" maxValue="5"/>
    </cacheField>
    <cacheField name="attrition" numFmtId="0">
      <sharedItems/>
    </cacheField>
    <cacheField name="work_date" numFmtId="14">
      <sharedItems containsSemiMixedTypes="0" containsNonDate="0" containsDate="1" containsString="0" minDate="2025-01-01T00:00:00" maxDate="2025-01-06T00:00:00"/>
    </cacheField>
    <cacheField name="status" numFmtId="0">
      <sharedItems/>
    </cacheField>
    <cacheField name="promotion_date" numFmtId="14">
      <sharedItems containsSemiMixedTypes="0" containsNonDate="0" containsDate="1" containsString="0" minDate="2023-01-15T00:00:00" maxDate="2023-04-02T00:00:00"/>
    </cacheField>
    <cacheField name="old_role" numFmtId="0">
      <sharedItems/>
    </cacheField>
    <cacheField name="new_role"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3.59417546296" createdVersion="8" refreshedVersion="8" minRefreshableVersion="3" recordCount="7" xr:uid="{54F419DE-8FF8-4B0C-A7D7-8157EF107FB5}">
  <cacheSource type="worksheet">
    <worksheetSource ref="A2:B9" sheet="Sales &amp; revenue"/>
  </cacheSource>
  <cacheFields count="2">
    <cacheField name="Month" numFmtId="0">
      <sharedItems count="7">
        <s v="august   "/>
        <s v="december "/>
        <s v="january  "/>
        <s v="july     "/>
        <s v="november "/>
        <s v="october  "/>
        <s v="september"/>
      </sharedItems>
    </cacheField>
    <cacheField name="Month_revenue_trend" numFmtId="0">
      <sharedItems containsSemiMixedTypes="0" containsString="0" containsNumber="1" containsInteger="1" minValue="38415" maxValue="129454"/>
    </cacheField>
  </cacheFields>
  <extLst>
    <ext xmlns:x14="http://schemas.microsoft.com/office/spreadsheetml/2009/9/main" uri="{725AE2AE-9491-48be-B2B4-4EB974FC3084}">
      <x14:pivotCacheDefinition pivotCacheId="1691491903"/>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3.594657870373" createdVersion="8" refreshedVersion="8" minRefreshableVersion="3" recordCount="20" xr:uid="{7D5B6348-CC1F-48C3-B716-5CEFA1DC68C2}">
  <cacheSource type="worksheet">
    <worksheetSource ref="E2:G21" sheet="Sales &amp; revenue"/>
  </cacheSource>
  <cacheFields count="3">
    <cacheField name="Product_name" numFmtId="0">
      <sharedItems count="20">
        <s v="Product_495"/>
        <s v="Product_345"/>
        <s v="Product_295"/>
        <s v="Product_95"/>
        <s v="Product_145"/>
        <s v="Product_395"/>
        <s v="Product_245"/>
        <s v="Product_195"/>
        <s v="Product_445"/>
        <s v="Product_45"/>
        <s v="Product_190"/>
        <s v="Product_390"/>
        <s v="Product_290"/>
        <s v="Product_240"/>
        <s v="Product_340"/>
        <s v="Product_40"/>
        <s v="Product_90"/>
        <s v="Product_490"/>
        <s v="Product_140"/>
        <s v="Product_440"/>
      </sharedItems>
    </cacheField>
    <cacheField name="Quantity" numFmtId="0">
      <sharedItems containsSemiMixedTypes="0" containsString="0" containsNumber="1" containsInteger="1" minValue="5" maxValue="5" count="1">
        <n v="5"/>
      </sharedItems>
    </cacheField>
    <cacheField name="Top_product" numFmtId="0">
      <sharedItems containsSemiMixedTypes="0" containsString="0" containsNumber="1" containsInteger="1" minValue="3250" maxValue="3575"/>
    </cacheField>
  </cacheFields>
  <extLst>
    <ext xmlns:x14="http://schemas.microsoft.com/office/spreadsheetml/2009/9/main" uri="{725AE2AE-9491-48be-B2B4-4EB974FC3084}">
      <x14:pivotCacheDefinition pivotCacheId="1443299965"/>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3.596537847225" createdVersion="8" refreshedVersion="8" minRefreshableVersion="3" recordCount="5" xr:uid="{1FFB4B18-3B19-4B8A-9A2E-FDE56177773E}">
  <cacheSource type="worksheet">
    <worksheetSource ref="H2:I7" sheet="Sales &amp; revenue"/>
  </cacheSource>
  <cacheFields count="2">
    <cacheField name="Region" numFmtId="0">
      <sharedItems count="5">
        <s v="North"/>
        <s v="Central"/>
        <s v="West"/>
        <s v="East"/>
        <s v="South"/>
      </sharedItems>
    </cacheField>
    <cacheField name="Region_wise_revenue" numFmtId="0">
      <sharedItems containsSemiMixedTypes="0" containsString="0" containsNumber="1" containsInteger="1" minValue="43550" maxValue="211250"/>
    </cacheField>
  </cacheFields>
  <extLst>
    <ext xmlns:x14="http://schemas.microsoft.com/office/spreadsheetml/2009/9/main" uri="{725AE2AE-9491-48be-B2B4-4EB974FC3084}">
      <x14:pivotCacheDefinition pivotCacheId="1500617919"/>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1.886893750001" createdVersion="8" refreshedVersion="8" minRefreshableVersion="3" recordCount="20" xr:uid="{0A72E0CA-6B6D-43E6-8965-7C92D1743C74}">
  <cacheSource type="worksheet">
    <worksheetSource ref="A2:F22" sheet="Sheet4" r:id="rId2"/>
  </cacheSource>
  <cacheFields count="6">
    <cacheField name="txn_type" numFmtId="0">
      <sharedItems containsBlank="1" count="3">
        <s v="DEPOSIT"/>
        <s v="WITHDRAW"/>
        <m/>
      </sharedItems>
    </cacheField>
    <cacheField name="total_deposit_withdraw" numFmtId="0">
      <sharedItems containsString="0" containsBlank="1" containsNumber="1" containsInteger="1" minValue="201500" maxValue="252500"/>
    </cacheField>
    <cacheField name="txn_date" numFmtId="14">
      <sharedItems containsSemiMixedTypes="0" containsNonDate="0" containsDate="1" containsString="0" minDate="2025-01-02T00:00:00" maxDate="2025-01-22T00:00:00" count="2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sharedItems>
    </cacheField>
    <cacheField name="Daily_running_balance" numFmtId="0">
      <sharedItems containsSemiMixedTypes="0" containsString="0" containsNumber="1" containsInteger="1" minValue="5000" maxValue="48000"/>
    </cacheField>
    <cacheField name="txn_id" numFmtId="0">
      <sharedItems containsSemiMixedTypes="0" containsString="0" containsNumber="1" containsInteger="1" minValue="1" maxValue="20" count="20">
        <n v="7"/>
        <n v="15"/>
        <n v="5"/>
        <n v="13"/>
        <n v="9"/>
        <n v="17"/>
        <n v="3"/>
        <n v="19"/>
        <n v="11"/>
        <n v="1"/>
        <n v="20"/>
        <n v="18"/>
        <n v="10"/>
        <n v="14"/>
        <n v="2"/>
        <n v="8"/>
        <n v="4"/>
        <n v="16"/>
        <n v="6"/>
        <n v="12"/>
      </sharedItems>
    </cacheField>
    <cacheField name="Highest_txn_accounts" numFmtId="0">
      <sharedItems containsSemiMixedTypes="0" containsString="0" containsNumber="1" containsInteger="1" minValue="1000" maxValue="12000"/>
    </cacheField>
  </cacheFields>
  <extLst>
    <ext xmlns:x14="http://schemas.microsoft.com/office/spreadsheetml/2009/9/main" uri="{725AE2AE-9491-48be-B2B4-4EB974FC3084}">
      <x14:pivotCacheDefinition pivotCacheId="55279519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2.60471446759" createdVersion="8" refreshedVersion="8" minRefreshableVersion="3" recordCount="7" xr:uid="{933A371F-D8EC-4775-8EFE-DB6E976C17D1}">
  <cacheSource type="worksheet">
    <worksheetSource ref="Q1:R8" sheet="Sheet8"/>
  </cacheSource>
  <cacheFields count="2">
    <cacheField name="department" numFmtId="0">
      <sharedItems count="7">
        <s v="Marketing"/>
        <s v="Operations"/>
        <s v="Finance"/>
        <s v="Customer Support"/>
        <s v="Sales"/>
        <s v="IT"/>
        <s v="HR"/>
      </sharedItems>
    </cacheField>
    <cacheField name="Total_employee" numFmtId="0">
      <sharedItems containsSemiMixedTypes="0" containsString="0" containsNumber="1" containsInteger="1" minValue="2" maxValue="5" count="3">
        <n v="2"/>
        <n v="3"/>
        <n v="5"/>
      </sharedItems>
    </cacheField>
  </cacheFields>
  <extLst>
    <ext xmlns:x14="http://schemas.microsoft.com/office/spreadsheetml/2009/9/main" uri="{725AE2AE-9491-48be-B2B4-4EB974FC3084}">
      <x14:pivotCacheDefinition pivotCacheId="31971956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2.605527199077" createdVersion="8" refreshedVersion="8" minRefreshableVersion="3" recordCount="7" xr:uid="{16E4D9CA-768B-47F6-876E-DC9FF5F8B7BC}">
  <cacheSource type="worksheet">
    <worksheetSource ref="T1:U8" sheet="Sheet8"/>
  </cacheSource>
  <cacheFields count="2">
    <cacheField name="Department" numFmtId="0">
      <sharedItems count="7">
        <s v="Marketing"/>
        <s v="Operations"/>
        <s v="Finance"/>
        <s v="Customer Support"/>
        <s v="Sales"/>
        <s v="IT"/>
        <s v="HR"/>
      </sharedItems>
    </cacheField>
    <cacheField name="avg_salary" numFmtId="0">
      <sharedItems containsSemiMixedTypes="0" containsString="0" containsNumber="1" minValue="47500" maxValue="74600"/>
    </cacheField>
  </cacheFields>
  <extLst>
    <ext xmlns:x14="http://schemas.microsoft.com/office/spreadsheetml/2009/9/main" uri="{725AE2AE-9491-48be-B2B4-4EB974FC3084}">
      <x14:pivotCacheDefinition pivotCacheId="645704760"/>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2.606687615742" createdVersion="8" refreshedVersion="8" minRefreshableVersion="3" recordCount="10" xr:uid="{4BEC1C8E-622A-49EC-AADF-5149C3E1EC9E}">
  <cacheSource type="worksheet">
    <worksheetSource ref="Z1:AB11" sheet="Sheet8"/>
  </cacheSource>
  <cacheFields count="3">
    <cacheField name="Department" numFmtId="0">
      <sharedItems count="7">
        <s v="Sales"/>
        <s v="Operations"/>
        <s v="IT"/>
        <s v="Customer Support"/>
        <s v="Marketing"/>
        <s v="HR"/>
        <s v="Finance"/>
      </sharedItems>
    </cacheField>
    <cacheField name="rating" numFmtId="0">
      <sharedItems containsSemiMixedTypes="0" containsString="0" containsNumber="1" containsInteger="1" minValue="3" maxValue="5" count="3">
        <n v="5"/>
        <n v="4"/>
        <n v="3"/>
      </sharedItems>
    </cacheField>
    <cacheField name="Top_10_performence" numFmtId="0">
      <sharedItems containsSemiMixedTypes="0" containsString="0" containsNumber="1" containsInteger="1" minValue="1" maxValue="3" count="3">
        <n v="1"/>
        <n v="2"/>
        <n v="3"/>
      </sharedItems>
    </cacheField>
  </cacheFields>
  <extLst>
    <ext xmlns:x14="http://schemas.microsoft.com/office/spreadsheetml/2009/9/main" uri="{725AE2AE-9491-48be-B2B4-4EB974FC3084}">
      <x14:pivotCacheDefinition pivotCacheId="89163182"/>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u Bakker Siddik" refreshedDate="46032.607987731484" createdVersion="8" refreshedVersion="8" minRefreshableVersion="3" recordCount="20" xr:uid="{2305994E-5FC4-41F0-933A-3E470443D680}">
  <cacheSource type="worksheet">
    <worksheetSource ref="A1:N19" sheet="Sheet8"/>
  </cacheSource>
  <cacheFields count="17">
    <cacheField name="emp_id" numFmtId="0">
      <sharedItems containsSemiMixedTypes="0" containsString="0" containsNumber="1" containsInteger="1" minValue="1" maxValue="20"/>
    </cacheField>
    <cacheField name="name" numFmtId="0">
      <sharedItems/>
    </cacheField>
    <cacheField name="gender" numFmtId="0">
      <sharedItems/>
    </cacheField>
    <cacheField name="department" numFmtId="0">
      <sharedItems/>
    </cacheField>
    <cacheField name="job_title" numFmtId="0">
      <sharedItems/>
    </cacheField>
    <cacheField name="hire_date" numFmtId="14">
      <sharedItems containsSemiMixedTypes="0" containsNonDate="0" containsDate="1" containsString="0" minDate="2017-01-08T00:00:00" maxDate="2023-07-06T00:00:00" count="20">
        <d v="2022-01-15T00:00:00"/>
        <d v="2021-03-10T00:00:00"/>
        <d v="2020-07-01T00:00:00"/>
        <d v="2019-05-20T00:00:00"/>
        <d v="2023-02-12T00:00:00"/>
        <d v="2021-09-18T00:00:00"/>
        <d v="2018-11-05T00:00:00"/>
        <d v="2022-06-25T00:00:00"/>
        <d v="2020-01-10T00:00:00"/>
        <d v="2017-08-14T00:00:00"/>
        <d v="2019-03-03T00:00:00"/>
        <d v="2022-10-09T00:00:00"/>
        <d v="2018-12-01T00:00:00"/>
        <d v="2021-04-17T00:00:00"/>
        <d v="2023-07-05T00:00:00"/>
        <d v="2019-09-22T00:00:00"/>
        <d v="2022-11-30T00:00:00"/>
        <d v="2020-06-16T00:00:00"/>
        <d v="2017-01-08T00:00:00"/>
        <d v="2018-04-27T00:00:00"/>
      </sharedItems>
      <fieldGroup par="16"/>
    </cacheField>
    <cacheField name="Salary" numFmtId="0">
      <sharedItems containsSemiMixedTypes="0" containsString="0" containsNumber="1" containsInteger="1" minValue="42000" maxValue="95000"/>
    </cacheField>
    <cacheField name="Status" numFmtId="0">
      <sharedItems/>
    </cacheField>
    <cacheField name="date" numFmtId="14">
      <sharedItems containsSemiMixedTypes="0" containsNonDate="0" containsDate="1" containsString="0" minDate="2025-01-01T00:00:00" maxDate="2025-01-03T00:00:00"/>
    </cacheField>
    <cacheField name="status2" numFmtId="0">
      <sharedItems/>
    </cacheField>
    <cacheField name="review_date" numFmtId="14">
      <sharedItems containsSemiMixedTypes="0" containsNonDate="0" containsDate="1" containsString="0" minDate="2025-01-05T00:00:00" maxDate="2025-02-06T00:00:00"/>
    </cacheField>
    <cacheField name="rating" numFmtId="0">
      <sharedItems containsSemiMixedTypes="0" containsString="0" containsNumber="1" containsInteger="1" minValue="3" maxValue="5"/>
    </cacheField>
    <cacheField name="resign_date" numFmtId="14">
      <sharedItems containsSemiMixedTypes="0" containsNonDate="0" containsDate="1" containsString="0" minDate="2024-01-15T00:00:00" maxDate="2024-12-02T00:00:00"/>
    </cacheField>
    <cacheField name="reason" numFmtId="0">
      <sharedItems/>
    </cacheField>
    <cacheField name="Months (hire_date)" numFmtId="0" databaseField="0">
      <fieldGroup base="5">
        <rangePr groupBy="months" startDate="2017-01-08T00:00:00" endDate="2023-07-06T00:00:00"/>
        <groupItems count="14">
          <s v="&lt;1/8/2017"/>
          <s v="Jan"/>
          <s v="Feb"/>
          <s v="Mar"/>
          <s v="Apr"/>
          <s v="May"/>
          <s v="Jun"/>
          <s v="Jul"/>
          <s v="Aug"/>
          <s v="Sep"/>
          <s v="Oct"/>
          <s v="Nov"/>
          <s v="Dec"/>
          <s v="&gt;7/6/2023"/>
        </groupItems>
      </fieldGroup>
    </cacheField>
    <cacheField name="Quarters (hire_date)" numFmtId="0" databaseField="0">
      <fieldGroup base="5">
        <rangePr groupBy="quarters" startDate="2017-01-08T00:00:00" endDate="2023-07-06T00:00:00"/>
        <groupItems count="6">
          <s v="&lt;1/8/2017"/>
          <s v="Qtr1"/>
          <s v="Qtr2"/>
          <s v="Qtr3"/>
          <s v="Qtr4"/>
          <s v="&gt;7/6/2023"/>
        </groupItems>
      </fieldGroup>
    </cacheField>
    <cacheField name="Years (hire_date)" numFmtId="0" databaseField="0">
      <fieldGroup base="5">
        <rangePr groupBy="years" startDate="2017-01-08T00:00:00" endDate="2023-07-06T00:00:00"/>
        <groupItems count="9">
          <s v="&lt;1/8/2017"/>
          <s v="2017"/>
          <s v="2018"/>
          <s v="2019"/>
          <s v="2020"/>
          <s v="2021"/>
          <s v="2022"/>
          <s v="2023"/>
          <s v="&gt;7/6/2023"/>
        </groupItems>
      </fieldGroup>
    </cacheField>
  </cacheFields>
  <extLst>
    <ext xmlns:x14="http://schemas.microsoft.com/office/spreadsheetml/2009/9/main" uri="{725AE2AE-9491-48be-B2B4-4EB974FC3084}">
      <x14:pivotCacheDefinition pivotCacheId="21236177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x v="0"/>
    <x v="0"/>
    <n v="9388"/>
    <x v="0"/>
    <n v="200"/>
    <n v="10000"/>
    <x v="0"/>
  </r>
  <r>
    <n v="2"/>
    <x v="1"/>
    <x v="1"/>
    <n v="8374"/>
    <x v="1"/>
    <n v="300"/>
    <n v="9000"/>
    <x v="1"/>
  </r>
  <r>
    <n v="3"/>
    <x v="2"/>
    <x v="2"/>
    <n v="8748"/>
    <x v="2"/>
    <n v="400"/>
    <n v="8000"/>
    <x v="1"/>
  </r>
  <r>
    <n v="4"/>
    <x v="3"/>
    <x v="3"/>
    <n v="8950"/>
    <x v="3"/>
    <n v="500"/>
    <n v="7000"/>
    <x v="1"/>
  </r>
  <r>
    <n v="5"/>
    <x v="4"/>
    <x v="4"/>
    <n v="5437"/>
    <x v="4"/>
    <n v="600"/>
    <n v="6000"/>
    <x v="1"/>
  </r>
  <r>
    <n v="6"/>
    <x v="5"/>
    <x v="5"/>
    <n v="8738"/>
    <x v="5"/>
    <n v="700"/>
    <n v="5000"/>
    <x v="1"/>
  </r>
  <r>
    <n v="7"/>
    <x v="6"/>
    <x v="6"/>
    <n v="9375"/>
    <x v="6"/>
    <n v="800"/>
    <n v="4000"/>
    <x v="1"/>
  </r>
  <r>
    <n v="8"/>
    <x v="7"/>
    <x v="7"/>
    <n v="8374"/>
    <x v="0"/>
    <n v="900"/>
    <n v="3000"/>
    <x v="2"/>
  </r>
  <r>
    <n v="9"/>
    <x v="8"/>
    <x v="8"/>
    <n v="7635"/>
    <x v="1"/>
    <n v="1000"/>
    <n v="2000"/>
    <x v="2"/>
  </r>
  <r>
    <n v="10"/>
    <x v="9"/>
    <x v="9"/>
    <n v="6354"/>
    <x v="2"/>
    <n v="1100"/>
    <n v="100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85"/>
    <n v="95"/>
    <x v="0"/>
    <x v="0"/>
    <x v="0"/>
    <n v="81"/>
    <n v="5.85"/>
  </r>
  <r>
    <x v="1"/>
    <x v="1"/>
    <n v="78"/>
    <n v="92"/>
    <x v="1"/>
    <x v="1"/>
    <x v="1"/>
    <n v="89"/>
    <n v="5.67"/>
  </r>
  <r>
    <x v="2"/>
    <x v="2"/>
    <n v="88"/>
    <n v="91"/>
    <x v="2"/>
    <x v="2"/>
    <x v="2"/>
    <n v="90"/>
    <n v="5.6"/>
  </r>
  <r>
    <x v="3"/>
    <x v="3"/>
    <n v="67"/>
    <n v="90"/>
    <x v="3"/>
    <x v="3"/>
    <x v="3"/>
    <n v="79"/>
    <n v="5.54"/>
  </r>
  <r>
    <x v="4"/>
    <x v="4"/>
    <n v="72"/>
    <n v="90"/>
    <x v="3"/>
    <x v="3"/>
    <x v="3"/>
    <n v="91"/>
    <n v="5.54"/>
  </r>
  <r>
    <x v="5"/>
    <x v="5"/>
    <n v="91"/>
    <n v="89"/>
    <x v="4"/>
    <x v="3"/>
    <x v="3"/>
    <n v="83"/>
    <n v="5.48"/>
  </r>
  <r>
    <x v="6"/>
    <x v="6"/>
    <n v="90"/>
    <n v="88"/>
    <x v="5"/>
    <x v="3"/>
    <x v="3"/>
    <n v="67"/>
    <n v="5.42"/>
  </r>
  <r>
    <x v="7"/>
    <x v="7"/>
    <n v="69"/>
    <n v="87"/>
    <x v="6"/>
    <x v="3"/>
    <x v="3"/>
    <n v="78"/>
    <n v="5.36"/>
  </r>
  <r>
    <x v="8"/>
    <x v="8"/>
    <n v="74"/>
    <n v="85"/>
    <x v="7"/>
    <x v="3"/>
    <x v="3"/>
    <n v="85"/>
    <n v="5.23"/>
  </r>
  <r>
    <x v="9"/>
    <x v="9"/>
    <n v="81"/>
    <n v="83"/>
    <x v="8"/>
    <x v="3"/>
    <x v="3"/>
    <n v="70"/>
    <n v="5.1100000000000003"/>
  </r>
  <r>
    <x v="10"/>
    <x v="10"/>
    <n v="76"/>
    <n v="81"/>
    <x v="9"/>
    <x v="3"/>
    <x v="3"/>
    <n v="92"/>
    <n v="4.99"/>
  </r>
  <r>
    <x v="11"/>
    <x v="11"/>
    <n v="83"/>
    <n v="79"/>
    <x v="10"/>
    <x v="3"/>
    <x v="3"/>
    <n v="74"/>
    <n v="4.8600000000000003"/>
  </r>
  <r>
    <x v="12"/>
    <x v="12"/>
    <n v="79"/>
    <n v="78"/>
    <x v="11"/>
    <x v="3"/>
    <x v="3"/>
    <n v="88"/>
    <n v="4.8"/>
  </r>
  <r>
    <x v="13"/>
    <x v="13"/>
    <n v="70"/>
    <n v="76"/>
    <x v="12"/>
    <x v="3"/>
    <x v="3"/>
    <n v="68"/>
    <n v="4.68"/>
  </r>
  <r>
    <x v="14"/>
    <x v="14"/>
    <n v="68"/>
    <n v="74"/>
    <x v="13"/>
    <x v="3"/>
    <x v="3"/>
    <n v="76"/>
    <n v="4.5599999999999996"/>
  </r>
  <r>
    <x v="15"/>
    <x v="15"/>
    <n v="92"/>
    <n v="72"/>
    <x v="14"/>
    <x v="3"/>
    <x v="3"/>
    <n v="69"/>
    <n v="4.43"/>
  </r>
  <r>
    <x v="16"/>
    <x v="16"/>
    <n v="95"/>
    <n v="70"/>
    <x v="15"/>
    <x v="3"/>
    <x v="3"/>
    <n v="95"/>
    <n v="4.3099999999999996"/>
  </r>
  <r>
    <x v="17"/>
    <x v="17"/>
    <n v="89"/>
    <n v="69"/>
    <x v="16"/>
    <x v="3"/>
    <x v="3"/>
    <n v="87"/>
    <n v="4.25"/>
  </r>
  <r>
    <x v="18"/>
    <x v="18"/>
    <n v="87"/>
    <n v="68"/>
    <x v="17"/>
    <x v="3"/>
    <x v="3"/>
    <n v="90"/>
    <n v="4.1900000000000004"/>
  </r>
  <r>
    <x v="19"/>
    <x v="19"/>
    <n v="90"/>
    <n v="67"/>
    <x v="18"/>
    <x v="3"/>
    <x v="3"/>
    <n v="72"/>
    <n v="4.1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s v="Electronics"/>
    <n v="75000"/>
    <x v="0"/>
    <n v="2"/>
  </r>
  <r>
    <x v="0"/>
    <x v="0"/>
    <x v="1"/>
    <s v="Electronics"/>
    <n v="3500"/>
    <x v="0"/>
    <n v="1"/>
  </r>
  <r>
    <x v="1"/>
    <x v="0"/>
    <x v="2"/>
    <s v="Electronics"/>
    <n v="45000"/>
    <x v="1"/>
    <n v="4"/>
  </r>
  <r>
    <x v="1"/>
    <x v="0"/>
    <x v="3"/>
    <s v="Electronics"/>
    <n v="8000"/>
    <x v="1"/>
    <n v="2"/>
  </r>
  <r>
    <x v="2"/>
    <x v="0"/>
    <x v="4"/>
    <s v="Electronics"/>
    <n v="12000"/>
    <x v="2"/>
    <n v="1"/>
  </r>
  <r>
    <x v="3"/>
    <x v="0"/>
    <x v="5"/>
    <s v="Furniture"/>
    <n v="9000"/>
    <x v="3"/>
    <n v="3"/>
  </r>
  <r>
    <x v="4"/>
    <x v="0"/>
    <x v="6"/>
    <s v="Furniture"/>
    <n v="15000"/>
    <x v="4"/>
    <n v="2"/>
  </r>
  <r>
    <x v="5"/>
    <x v="0"/>
    <x v="7"/>
    <s v="Furniture"/>
    <n v="65000"/>
    <x v="5"/>
    <n v="5"/>
  </r>
  <r>
    <x v="6"/>
    <x v="0"/>
    <x v="8"/>
    <s v="Furniture"/>
    <n v="55000"/>
    <x v="6"/>
    <n v="1"/>
  </r>
  <r>
    <x v="7"/>
    <x v="0"/>
    <x v="9"/>
    <s v="Furniture"/>
    <n v="7000"/>
    <x v="7"/>
    <n v="2"/>
  </r>
  <r>
    <x v="8"/>
    <x v="0"/>
    <x v="0"/>
    <s v="Electronics"/>
    <n v="75000"/>
    <x v="8"/>
    <n v="3"/>
  </r>
  <r>
    <x v="9"/>
    <x v="0"/>
    <x v="2"/>
    <s v="Electronics"/>
    <n v="45000"/>
    <x v="9"/>
    <n v="2"/>
  </r>
  <r>
    <x v="10"/>
    <x v="1"/>
    <x v="1"/>
    <s v="Electronics"/>
    <n v="3500"/>
    <x v="10"/>
    <n v="4"/>
  </r>
  <r>
    <x v="11"/>
    <x v="1"/>
    <x v="4"/>
    <s v="Electronics"/>
    <n v="12000"/>
    <x v="11"/>
    <n v="1"/>
  </r>
  <r>
    <x v="12"/>
    <x v="1"/>
    <x v="3"/>
    <s v="Electronics"/>
    <n v="8000"/>
    <x v="12"/>
    <n v="2"/>
  </r>
  <r>
    <x v="13"/>
    <x v="2"/>
    <x v="5"/>
    <s v="Furniture"/>
    <n v="9000"/>
    <x v="13"/>
    <n v="3"/>
  </r>
  <r>
    <x v="14"/>
    <x v="2"/>
    <x v="6"/>
    <s v="Furniture"/>
    <n v="15000"/>
    <x v="14"/>
    <n v="1"/>
  </r>
  <r>
    <x v="15"/>
    <x v="3"/>
    <x v="7"/>
    <s v="Furniture"/>
    <n v="65000"/>
    <x v="15"/>
    <n v="2"/>
  </r>
  <r>
    <x v="16"/>
    <x v="3"/>
    <x v="8"/>
    <s v="Furniture"/>
    <n v="55000"/>
    <x v="16"/>
    <n v="4"/>
  </r>
  <r>
    <x v="17"/>
    <x v="4"/>
    <x v="9"/>
    <s v="Furniture"/>
    <n v="7000"/>
    <x v="17"/>
    <n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x v="0"/>
    <s v="Bangla"/>
    <n v="85"/>
    <x v="0"/>
    <n v="277"/>
    <x v="0"/>
    <n v="77.9375"/>
    <x v="0"/>
    <n v="277"/>
    <x v="0"/>
    <s v="pass"/>
    <n v="100"/>
  </r>
  <r>
    <x v="0"/>
    <s v="English"/>
    <n v="78"/>
    <x v="1"/>
    <n v="276"/>
    <x v="1"/>
    <n v="78.9375"/>
    <x v="1"/>
    <n v="276"/>
    <x v="1"/>
    <m/>
    <m/>
  </r>
  <r>
    <x v="0"/>
    <s v="Mathematics"/>
    <n v="92"/>
    <x v="2"/>
    <n v="272"/>
    <x v="2"/>
    <n v="84.4"/>
    <x v="2"/>
    <n v="272"/>
    <x v="2"/>
    <m/>
    <m/>
  </r>
  <r>
    <x v="1"/>
    <s v="Bangla"/>
    <n v="74"/>
    <x v="3"/>
    <m/>
    <x v="3"/>
    <m/>
    <x v="3"/>
    <n v="265"/>
    <x v="3"/>
    <m/>
    <m/>
  </r>
  <r>
    <x v="1"/>
    <s v="English"/>
    <n v="69"/>
    <x v="3"/>
    <m/>
    <x v="3"/>
    <m/>
    <x v="4"/>
    <n v="255"/>
    <x v="4"/>
    <m/>
    <m/>
  </r>
  <r>
    <x v="1"/>
    <s v="Mathematics"/>
    <n v="81"/>
    <x v="3"/>
    <m/>
    <x v="3"/>
    <m/>
    <x v="5"/>
    <n v="255"/>
    <x v="4"/>
    <m/>
    <m/>
  </r>
  <r>
    <x v="2"/>
    <s v="Bangla"/>
    <n v="88"/>
    <x v="3"/>
    <m/>
    <x v="3"/>
    <m/>
    <x v="6"/>
    <n v="255"/>
    <x v="4"/>
    <m/>
    <m/>
  </r>
  <r>
    <x v="2"/>
    <s v="English"/>
    <n v="90"/>
    <x v="3"/>
    <m/>
    <x v="3"/>
    <m/>
    <x v="7"/>
    <n v="244"/>
    <x v="5"/>
    <m/>
    <m/>
  </r>
  <r>
    <x v="2"/>
    <s v="Mathematics"/>
    <n v="94"/>
    <x v="3"/>
    <m/>
    <x v="3"/>
    <m/>
    <x v="8"/>
    <n v="241"/>
    <x v="6"/>
    <m/>
    <m/>
  </r>
  <r>
    <x v="3"/>
    <s v="Bangla"/>
    <n v="65"/>
    <x v="3"/>
    <m/>
    <x v="3"/>
    <m/>
    <x v="9"/>
    <n v="225"/>
    <x v="7"/>
    <m/>
    <m/>
  </r>
  <r>
    <x v="3"/>
    <s v="English"/>
    <n v="70"/>
    <x v="3"/>
    <m/>
    <x v="3"/>
    <m/>
    <x v="10"/>
    <n v="224"/>
    <x v="8"/>
    <m/>
    <m/>
  </r>
  <r>
    <x v="3"/>
    <s v="Mathematics"/>
    <n v="76"/>
    <x v="3"/>
    <m/>
    <x v="3"/>
    <m/>
    <x v="11"/>
    <n v="216"/>
    <x v="9"/>
    <m/>
    <m/>
  </r>
  <r>
    <x v="4"/>
    <s v="Bangla"/>
    <n v="82"/>
    <x v="3"/>
    <m/>
    <x v="3"/>
    <m/>
    <x v="12"/>
    <n v="212"/>
    <x v="10"/>
    <m/>
    <m/>
  </r>
  <r>
    <x v="4"/>
    <s v="English"/>
    <n v="85"/>
    <x v="3"/>
    <m/>
    <x v="3"/>
    <m/>
    <x v="13"/>
    <n v="211"/>
    <x v="11"/>
    <m/>
    <m/>
  </r>
  <r>
    <x v="4"/>
    <s v="Mathematics"/>
    <n v="88"/>
    <x v="3"/>
    <m/>
    <x v="3"/>
    <m/>
    <x v="14"/>
    <n v="210"/>
    <x v="12"/>
    <m/>
    <m/>
  </r>
  <r>
    <x v="5"/>
    <s v="Bangla"/>
    <n v="71"/>
    <x v="3"/>
    <m/>
    <x v="3"/>
    <m/>
    <x v="15"/>
    <n v="138"/>
    <x v="13"/>
    <m/>
    <m/>
  </r>
  <r>
    <x v="5"/>
    <s v="English"/>
    <n v="68"/>
    <x v="3"/>
    <m/>
    <x v="3"/>
    <m/>
    <x v="16"/>
    <m/>
    <x v="14"/>
    <m/>
    <m/>
  </r>
  <r>
    <x v="5"/>
    <s v="Mathematics"/>
    <n v="73"/>
    <x v="3"/>
    <m/>
    <x v="3"/>
    <m/>
    <x v="16"/>
    <m/>
    <x v="14"/>
    <m/>
    <m/>
  </r>
  <r>
    <x v="6"/>
    <s v="Bangla"/>
    <n v="90"/>
    <x v="3"/>
    <m/>
    <x v="3"/>
    <m/>
    <x v="16"/>
    <m/>
    <x v="14"/>
    <m/>
    <m/>
  </r>
  <r>
    <x v="6"/>
    <s v="English"/>
    <n v="92"/>
    <x v="3"/>
    <m/>
    <x v="3"/>
    <m/>
    <x v="16"/>
    <m/>
    <x v="14"/>
    <m/>
    <m/>
  </r>
  <r>
    <x v="6"/>
    <s v="Mathematics"/>
    <n v="95"/>
    <x v="3"/>
    <m/>
    <x v="3"/>
    <m/>
    <x v="16"/>
    <m/>
    <x v="14"/>
    <m/>
    <m/>
  </r>
  <r>
    <x v="7"/>
    <s v="Bangla"/>
    <n v="77"/>
    <x v="3"/>
    <m/>
    <x v="3"/>
    <m/>
    <x v="16"/>
    <m/>
    <x v="14"/>
    <m/>
    <m/>
  </r>
  <r>
    <x v="7"/>
    <s v="English"/>
    <n v="80"/>
    <x v="3"/>
    <m/>
    <x v="3"/>
    <m/>
    <x v="16"/>
    <m/>
    <x v="14"/>
    <m/>
    <m/>
  </r>
  <r>
    <x v="7"/>
    <s v="Mathematics"/>
    <n v="84"/>
    <x v="3"/>
    <m/>
    <x v="3"/>
    <m/>
    <x v="16"/>
    <m/>
    <x v="14"/>
    <m/>
    <m/>
  </r>
  <r>
    <x v="8"/>
    <s v="Bangla"/>
    <n v="69"/>
    <x v="3"/>
    <m/>
    <x v="3"/>
    <m/>
    <x v="16"/>
    <m/>
    <x v="14"/>
    <m/>
    <m/>
  </r>
  <r>
    <x v="8"/>
    <s v="English"/>
    <n v="72"/>
    <x v="3"/>
    <m/>
    <x v="3"/>
    <m/>
    <x v="16"/>
    <m/>
    <x v="14"/>
    <m/>
    <m/>
  </r>
  <r>
    <x v="8"/>
    <s v="Mathematics"/>
    <n v="75"/>
    <x v="3"/>
    <m/>
    <x v="3"/>
    <m/>
    <x v="16"/>
    <m/>
    <x v="14"/>
    <m/>
    <m/>
  </r>
  <r>
    <x v="9"/>
    <s v="Bangla"/>
    <n v="88"/>
    <x v="3"/>
    <m/>
    <x v="3"/>
    <m/>
    <x v="16"/>
    <m/>
    <x v="14"/>
    <m/>
    <m/>
  </r>
  <r>
    <x v="9"/>
    <s v="English"/>
    <n v="86"/>
    <x v="3"/>
    <m/>
    <x v="3"/>
    <m/>
    <x v="16"/>
    <m/>
    <x v="14"/>
    <m/>
    <m/>
  </r>
  <r>
    <x v="9"/>
    <s v="Mathematics"/>
    <n v="91"/>
    <x v="3"/>
    <m/>
    <x v="3"/>
    <m/>
    <x v="16"/>
    <m/>
    <x v="14"/>
    <m/>
    <m/>
  </r>
  <r>
    <x v="10"/>
    <s v="Bangla"/>
    <n v="66"/>
    <x v="3"/>
    <m/>
    <x v="3"/>
    <m/>
    <x v="16"/>
    <m/>
    <x v="14"/>
    <m/>
    <m/>
  </r>
  <r>
    <x v="10"/>
    <s v="English"/>
    <n v="70"/>
    <x v="3"/>
    <m/>
    <x v="3"/>
    <m/>
    <x v="16"/>
    <m/>
    <x v="14"/>
    <m/>
    <m/>
  </r>
  <r>
    <x v="10"/>
    <s v="Mathematics"/>
    <n v="74"/>
    <x v="3"/>
    <m/>
    <x v="3"/>
    <m/>
    <x v="16"/>
    <m/>
    <x v="14"/>
    <m/>
    <m/>
  </r>
  <r>
    <x v="11"/>
    <s v="Bangla"/>
    <n v="83"/>
    <x v="3"/>
    <m/>
    <x v="3"/>
    <m/>
    <x v="16"/>
    <m/>
    <x v="14"/>
    <m/>
    <m/>
  </r>
  <r>
    <x v="11"/>
    <s v="English"/>
    <n v="85"/>
    <x v="3"/>
    <m/>
    <x v="3"/>
    <m/>
    <x v="16"/>
    <m/>
    <x v="14"/>
    <m/>
    <m/>
  </r>
  <r>
    <x v="11"/>
    <s v="Mathematics"/>
    <n v="87"/>
    <x v="3"/>
    <m/>
    <x v="3"/>
    <m/>
    <x v="16"/>
    <m/>
    <x v="14"/>
    <m/>
    <m/>
  </r>
  <r>
    <x v="12"/>
    <s v="Bangla"/>
    <n v="79"/>
    <x v="3"/>
    <m/>
    <x v="3"/>
    <m/>
    <x v="16"/>
    <m/>
    <x v="14"/>
    <m/>
    <m/>
  </r>
  <r>
    <x v="12"/>
    <s v="English"/>
    <n v="81"/>
    <x v="3"/>
    <m/>
    <x v="3"/>
    <m/>
    <x v="16"/>
    <m/>
    <x v="14"/>
    <m/>
    <m/>
  </r>
  <r>
    <x v="12"/>
    <s v="Mathematics"/>
    <n v="84"/>
    <x v="3"/>
    <m/>
    <x v="3"/>
    <m/>
    <x v="16"/>
    <m/>
    <x v="14"/>
    <m/>
    <m/>
  </r>
  <r>
    <x v="13"/>
    <s v="Bangla"/>
    <n v="72"/>
    <x v="3"/>
    <m/>
    <x v="3"/>
    <m/>
    <x v="16"/>
    <m/>
    <x v="14"/>
    <m/>
    <m/>
  </r>
  <r>
    <x v="13"/>
    <s v="English"/>
    <n v="75"/>
    <x v="3"/>
    <m/>
    <x v="3"/>
    <m/>
    <x v="16"/>
    <m/>
    <x v="14"/>
    <m/>
    <m/>
  </r>
  <r>
    <x v="13"/>
    <s v="Mathematics"/>
    <n v="78"/>
    <x v="3"/>
    <m/>
    <x v="3"/>
    <m/>
    <x v="16"/>
    <m/>
    <x v="14"/>
    <m/>
    <m/>
  </r>
  <r>
    <x v="14"/>
    <s v="Bangla"/>
    <n v="90"/>
    <x v="3"/>
    <m/>
    <x v="3"/>
    <m/>
    <x v="16"/>
    <m/>
    <x v="14"/>
    <m/>
    <m/>
  </r>
  <r>
    <x v="14"/>
    <s v="English"/>
    <n v="92"/>
    <x v="3"/>
    <m/>
    <x v="3"/>
    <m/>
    <x v="16"/>
    <m/>
    <x v="14"/>
    <m/>
    <m/>
  </r>
  <r>
    <x v="14"/>
    <s v="Mathematics"/>
    <n v="94"/>
    <x v="3"/>
    <m/>
    <x v="3"/>
    <m/>
    <x v="16"/>
    <m/>
    <x v="14"/>
    <m/>
    <m/>
  </r>
  <r>
    <x v="15"/>
    <s v="Bangla"/>
    <n v="68"/>
    <x v="3"/>
    <m/>
    <x v="3"/>
    <m/>
    <x v="16"/>
    <m/>
    <x v="14"/>
    <m/>
    <m/>
  </r>
  <r>
    <x v="15"/>
    <s v="English"/>
    <n v="70"/>
    <x v="3"/>
    <m/>
    <x v="3"/>
    <m/>
    <x v="16"/>
    <m/>
    <x v="14"/>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s v="Male"/>
    <x v="0"/>
    <n v="28"/>
    <s v="Analyst"/>
    <d v="2021-03-15T00:00:00"/>
    <n v="45000"/>
    <n v="4"/>
    <s v="No"/>
    <d v="2025-01-01T00:00:00"/>
    <s v="Present"/>
    <d v="2023-01-15T00:00:00"/>
    <s v="Junior Analyst"/>
    <s v="Analyst"/>
  </r>
  <r>
    <x v="1"/>
    <s v="Male"/>
    <x v="1"/>
    <n v="32"/>
    <s v="Manager"/>
    <d v="2020-07-10T00:00:00"/>
    <n v="75000"/>
    <n v="5"/>
    <s v="No"/>
    <d v="2025-01-01T00:00:00"/>
    <s v="Present"/>
    <d v="2023-02-10T00:00:00"/>
    <s v="Sales Executive"/>
    <s v="Senior Sales Executive"/>
  </r>
  <r>
    <x v="2"/>
    <s v="Female"/>
    <x v="2"/>
    <n v="26"/>
    <s v="Analyst"/>
    <d v="2022-01-20T00:00:00"/>
    <n v="42000"/>
    <n v="3"/>
    <s v="No"/>
    <d v="2025-01-01T00:00:00"/>
    <s v="Absent"/>
    <d v="2023-03-05T00:00:00"/>
    <s v="HR Assistant"/>
    <s v="HR Executive"/>
  </r>
  <r>
    <x v="3"/>
    <s v="Female"/>
    <x v="3"/>
    <n v="30"/>
    <s v="HR"/>
    <d v="2019-09-12T00:00:00"/>
    <n v="50000"/>
    <n v="4"/>
    <s v="No"/>
    <d v="2025-01-01T00:00:00"/>
    <s v="Present"/>
    <d v="2023-03-20T00:00:00"/>
    <s v="Support Agent"/>
    <s v="Senior Support Agent"/>
  </r>
  <r>
    <x v="4"/>
    <s v="Male"/>
    <x v="4"/>
    <n v="35"/>
    <s v="Developer"/>
    <d v="2018-05-18T00:00:00"/>
    <n v="80000"/>
    <n v="5"/>
    <s v="No"/>
    <d v="2025-01-01T00:00:00"/>
    <s v="Leave"/>
    <d v="2023-04-01T00:00:00"/>
    <s v="Junior Developer"/>
    <s v="Developer"/>
  </r>
  <r>
    <x v="0"/>
    <s v="Male"/>
    <x v="0"/>
    <n v="28"/>
    <s v="Analyst"/>
    <d v="2021-03-15T00:00:00"/>
    <n v="45000"/>
    <n v="4"/>
    <s v="No"/>
    <d v="2025-01-02T00:00:00"/>
    <s v="Present"/>
    <d v="2023-01-15T00:00:00"/>
    <s v="Junior Analyst"/>
    <s v="Analyst"/>
  </r>
  <r>
    <x v="1"/>
    <s v="Male"/>
    <x v="1"/>
    <n v="32"/>
    <s v="Manager"/>
    <d v="2020-07-10T00:00:00"/>
    <n v="75000"/>
    <n v="5"/>
    <s v="No"/>
    <d v="2025-01-02T00:00:00"/>
    <s v="Present"/>
    <d v="2023-02-10T00:00:00"/>
    <s v="Sales Executive"/>
    <s v="Senior Sales Executive"/>
  </r>
  <r>
    <x v="2"/>
    <s v="Female"/>
    <x v="2"/>
    <n v="26"/>
    <s v="Analyst"/>
    <d v="2022-01-20T00:00:00"/>
    <n v="42000"/>
    <n v="3"/>
    <s v="No"/>
    <d v="2025-01-02T00:00:00"/>
    <s v="Present"/>
    <d v="2023-03-05T00:00:00"/>
    <s v="HR Assistant"/>
    <s v="HR Executive"/>
  </r>
  <r>
    <x v="3"/>
    <s v="Female"/>
    <x v="3"/>
    <n v="30"/>
    <s v="HR"/>
    <d v="2019-09-12T00:00:00"/>
    <n v="50000"/>
    <n v="4"/>
    <s v="No"/>
    <d v="2025-01-02T00:00:00"/>
    <s v="Absent"/>
    <d v="2023-03-20T00:00:00"/>
    <s v="Support Agent"/>
    <s v="Senior Support Agent"/>
  </r>
  <r>
    <x v="4"/>
    <s v="Male"/>
    <x v="4"/>
    <n v="35"/>
    <s v="Developer"/>
    <d v="2018-05-18T00:00:00"/>
    <n v="80000"/>
    <n v="5"/>
    <s v="No"/>
    <d v="2025-01-02T00:00:00"/>
    <s v="Present"/>
    <d v="2023-04-01T00:00:00"/>
    <s v="Junior Developer"/>
    <s v="Developer"/>
  </r>
  <r>
    <x v="0"/>
    <s v="Male"/>
    <x v="0"/>
    <n v="28"/>
    <s v="Analyst"/>
    <d v="2021-03-15T00:00:00"/>
    <n v="45000"/>
    <n v="4"/>
    <s v="No"/>
    <d v="2025-01-03T00:00:00"/>
    <s v="Present"/>
    <d v="2023-01-15T00:00:00"/>
    <s v="Junior Analyst"/>
    <s v="Analyst"/>
  </r>
  <r>
    <x v="1"/>
    <s v="Male"/>
    <x v="1"/>
    <n v="32"/>
    <s v="Manager"/>
    <d v="2020-07-10T00:00:00"/>
    <n v="75000"/>
    <n v="5"/>
    <s v="No"/>
    <d v="2025-01-03T00:00:00"/>
    <s v="Absent"/>
    <d v="2023-02-10T00:00:00"/>
    <s v="Sales Executive"/>
    <s v="Senior Sales Executive"/>
  </r>
  <r>
    <x v="2"/>
    <s v="Female"/>
    <x v="2"/>
    <n v="26"/>
    <s v="Analyst"/>
    <d v="2022-01-20T00:00:00"/>
    <n v="42000"/>
    <n v="3"/>
    <s v="No"/>
    <d v="2025-01-03T00:00:00"/>
    <s v="Present"/>
    <d v="2023-03-05T00:00:00"/>
    <s v="HR Assistant"/>
    <s v="HR Executive"/>
  </r>
  <r>
    <x v="3"/>
    <s v="Female"/>
    <x v="3"/>
    <n v="30"/>
    <s v="HR"/>
    <d v="2019-09-12T00:00:00"/>
    <n v="50000"/>
    <n v="4"/>
    <s v="No"/>
    <d v="2025-01-03T00:00:00"/>
    <s v="Present"/>
    <d v="2023-03-20T00:00:00"/>
    <s v="Support Agent"/>
    <s v="Senior Support Agent"/>
  </r>
  <r>
    <x v="4"/>
    <s v="Male"/>
    <x v="4"/>
    <n v="35"/>
    <s v="Developer"/>
    <d v="2018-05-18T00:00:00"/>
    <n v="80000"/>
    <n v="5"/>
    <s v="No"/>
    <d v="2025-01-03T00:00:00"/>
    <s v="Leave"/>
    <d v="2023-04-01T00:00:00"/>
    <s v="Junior Developer"/>
    <s v="Developer"/>
  </r>
  <r>
    <x v="0"/>
    <s v="Male"/>
    <x v="0"/>
    <n v="28"/>
    <s v="Analyst"/>
    <d v="2021-03-15T00:00:00"/>
    <n v="45000"/>
    <n v="4"/>
    <s v="No"/>
    <d v="2025-01-04T00:00:00"/>
    <s v="Present"/>
    <d v="2023-01-15T00:00:00"/>
    <s v="Junior Analyst"/>
    <s v="Analyst"/>
  </r>
  <r>
    <x v="1"/>
    <s v="Male"/>
    <x v="1"/>
    <n v="32"/>
    <s v="Manager"/>
    <d v="2020-07-10T00:00:00"/>
    <n v="75000"/>
    <n v="5"/>
    <s v="No"/>
    <d v="2025-01-04T00:00:00"/>
    <s v="Present"/>
    <d v="2023-02-10T00:00:00"/>
    <s v="Sales Executive"/>
    <s v="Senior Sales Executive"/>
  </r>
  <r>
    <x v="2"/>
    <s v="Female"/>
    <x v="2"/>
    <n v="26"/>
    <s v="Analyst"/>
    <d v="2022-01-20T00:00:00"/>
    <n v="42000"/>
    <n v="3"/>
    <s v="No"/>
    <d v="2025-01-04T00:00:00"/>
    <s v="Present"/>
    <d v="2023-03-05T00:00:00"/>
    <s v="HR Assistant"/>
    <s v="HR Executive"/>
  </r>
  <r>
    <x v="3"/>
    <s v="Female"/>
    <x v="3"/>
    <n v="30"/>
    <s v="HR"/>
    <d v="2019-09-12T00:00:00"/>
    <n v="50000"/>
    <n v="4"/>
    <s v="No"/>
    <d v="2025-01-04T00:00:00"/>
    <s v="Absent"/>
    <d v="2023-03-20T00:00:00"/>
    <s v="Support Agent"/>
    <s v="Senior Support Agent"/>
  </r>
  <r>
    <x v="4"/>
    <s v="Male"/>
    <x v="4"/>
    <n v="35"/>
    <s v="Developer"/>
    <d v="2018-05-18T00:00:00"/>
    <n v="80000"/>
    <n v="5"/>
    <s v="No"/>
    <d v="2025-01-04T00:00:00"/>
    <s v="Present"/>
    <d v="2023-04-01T00:00:00"/>
    <s v="Junior Developer"/>
    <s v="Developer"/>
  </r>
  <r>
    <x v="0"/>
    <s v="Male"/>
    <x v="0"/>
    <n v="28"/>
    <s v="Analyst"/>
    <d v="2021-03-15T00:00:00"/>
    <n v="45000"/>
    <n v="4"/>
    <s v="No"/>
    <d v="2025-01-05T00:00:00"/>
    <s v="Present"/>
    <d v="2023-01-15T00:00:00"/>
    <s v="Junior Analyst"/>
    <s v="Analyst"/>
  </r>
  <r>
    <x v="1"/>
    <s v="Male"/>
    <x v="1"/>
    <n v="32"/>
    <s v="Manager"/>
    <d v="2020-07-10T00:00:00"/>
    <n v="75000"/>
    <n v="5"/>
    <s v="No"/>
    <d v="2025-01-05T00:00:00"/>
    <s v="Leave"/>
    <d v="2023-02-10T00:00:00"/>
    <s v="Sales Executive"/>
    <s v="Senior Sales Executive"/>
  </r>
  <r>
    <x v="2"/>
    <s v="Female"/>
    <x v="2"/>
    <n v="26"/>
    <s v="Analyst"/>
    <d v="2022-01-20T00:00:00"/>
    <n v="42000"/>
    <n v="3"/>
    <s v="No"/>
    <d v="2025-01-05T00:00:00"/>
    <s v="Present"/>
    <d v="2023-03-05T00:00:00"/>
    <s v="HR Assistant"/>
    <s v="HR Executive"/>
  </r>
  <r>
    <x v="3"/>
    <s v="Female"/>
    <x v="3"/>
    <n v="30"/>
    <s v="HR"/>
    <d v="2019-09-12T00:00:00"/>
    <n v="50000"/>
    <n v="4"/>
    <s v="No"/>
    <d v="2025-01-05T00:00:00"/>
    <s v="Present"/>
    <d v="2023-03-20T00:00:00"/>
    <s v="Support Agent"/>
    <s v="Senior Support Agent"/>
  </r>
  <r>
    <x v="4"/>
    <s v="Male"/>
    <x v="5"/>
    <n v="35"/>
    <s v="Developer"/>
    <d v="2018-05-18T00:00:00"/>
    <n v="80000"/>
    <n v="5"/>
    <s v="No"/>
    <d v="2025-01-05T00:00:00"/>
    <s v="Absent"/>
    <d v="2023-04-01T00:00:00"/>
    <s v="Junior Developer"/>
    <s v="Developer"/>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105274"/>
  </r>
  <r>
    <x v="1"/>
    <n v="129454"/>
  </r>
  <r>
    <x v="2"/>
    <n v="38415"/>
  </r>
  <r>
    <x v="3"/>
    <n v="39546"/>
  </r>
  <r>
    <x v="4"/>
    <n v="116415"/>
  </r>
  <r>
    <x v="5"/>
    <n v="126191"/>
  </r>
  <r>
    <x v="6"/>
    <n v="11745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3575"/>
  </r>
  <r>
    <x v="1"/>
    <x v="0"/>
    <n v="3575"/>
  </r>
  <r>
    <x v="2"/>
    <x v="0"/>
    <n v="3575"/>
  </r>
  <r>
    <x v="3"/>
    <x v="0"/>
    <n v="3575"/>
  </r>
  <r>
    <x v="4"/>
    <x v="0"/>
    <n v="3575"/>
  </r>
  <r>
    <x v="5"/>
    <x v="0"/>
    <n v="3575"/>
  </r>
  <r>
    <x v="6"/>
    <x v="0"/>
    <n v="3575"/>
  </r>
  <r>
    <x v="7"/>
    <x v="0"/>
    <n v="3575"/>
  </r>
  <r>
    <x v="8"/>
    <x v="0"/>
    <n v="3575"/>
  </r>
  <r>
    <x v="9"/>
    <x v="0"/>
    <n v="3575"/>
  </r>
  <r>
    <x v="10"/>
    <x v="0"/>
    <n v="3250"/>
  </r>
  <r>
    <x v="11"/>
    <x v="0"/>
    <n v="3250"/>
  </r>
  <r>
    <x v="12"/>
    <x v="0"/>
    <n v="3250"/>
  </r>
  <r>
    <x v="13"/>
    <x v="0"/>
    <n v="3250"/>
  </r>
  <r>
    <x v="14"/>
    <x v="0"/>
    <n v="3250"/>
  </r>
  <r>
    <x v="15"/>
    <x v="0"/>
    <n v="3250"/>
  </r>
  <r>
    <x v="16"/>
    <x v="0"/>
    <n v="3250"/>
  </r>
  <r>
    <x v="17"/>
    <x v="0"/>
    <n v="3250"/>
  </r>
  <r>
    <x v="18"/>
    <x v="0"/>
    <n v="3250"/>
  </r>
  <r>
    <x v="19"/>
    <x v="0"/>
    <n v="325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11250"/>
  </r>
  <r>
    <x v="1"/>
    <n v="189800"/>
  </r>
  <r>
    <x v="2"/>
    <n v="138450"/>
  </r>
  <r>
    <x v="3"/>
    <n v="89700"/>
  </r>
  <r>
    <x v="4"/>
    <n v="4355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252500"/>
    <x v="0"/>
    <n v="15000"/>
    <x v="0"/>
    <n v="12000"/>
  </r>
  <r>
    <x v="1"/>
    <n v="201500"/>
    <x v="1"/>
    <n v="22000"/>
    <x v="1"/>
    <n v="11000"/>
  </r>
  <r>
    <x v="2"/>
    <m/>
    <x v="2"/>
    <n v="18000"/>
    <x v="2"/>
    <n v="10000"/>
  </r>
  <r>
    <x v="2"/>
    <m/>
    <x v="3"/>
    <n v="9500"/>
    <x v="3"/>
    <n v="9000"/>
  </r>
  <r>
    <x v="2"/>
    <m/>
    <x v="4"/>
    <n v="30500"/>
    <x v="4"/>
    <n v="8000"/>
  </r>
  <r>
    <x v="2"/>
    <m/>
    <x v="5"/>
    <n v="12000"/>
    <x v="5"/>
    <n v="7500"/>
  </r>
  <r>
    <x v="2"/>
    <m/>
    <x v="6"/>
    <n v="45000"/>
    <x v="6"/>
    <n v="7000"/>
  </r>
  <r>
    <x v="2"/>
    <m/>
    <x v="7"/>
    <n v="8700"/>
    <x v="7"/>
    <n v="6500"/>
  </r>
  <r>
    <x v="2"/>
    <m/>
    <x v="8"/>
    <n v="26000"/>
    <x v="8"/>
    <n v="6000"/>
  </r>
  <r>
    <x v="2"/>
    <m/>
    <x v="9"/>
    <n v="33000"/>
    <x v="9"/>
    <n v="5000"/>
  </r>
  <r>
    <x v="2"/>
    <m/>
    <x v="10"/>
    <n v="14000"/>
    <x v="10"/>
    <n v="5000"/>
  </r>
  <r>
    <x v="2"/>
    <m/>
    <x v="11"/>
    <n v="5000"/>
    <x v="11"/>
    <n v="4200"/>
  </r>
  <r>
    <x v="2"/>
    <m/>
    <x v="12"/>
    <n v="29000"/>
    <x v="12"/>
    <n v="4000"/>
  </r>
  <r>
    <x v="2"/>
    <m/>
    <x v="13"/>
    <n v="17500"/>
    <x v="13"/>
    <n v="3500"/>
  </r>
  <r>
    <x v="2"/>
    <m/>
    <x v="14"/>
    <n v="41000"/>
    <x v="14"/>
    <n v="3000"/>
  </r>
  <r>
    <x v="2"/>
    <m/>
    <x v="15"/>
    <n v="9800"/>
    <x v="15"/>
    <n v="2500"/>
  </r>
  <r>
    <x v="2"/>
    <m/>
    <x v="16"/>
    <n v="21500"/>
    <x v="16"/>
    <n v="2000"/>
  </r>
  <r>
    <x v="2"/>
    <m/>
    <x v="17"/>
    <n v="36000"/>
    <x v="17"/>
    <n v="1800"/>
  </r>
  <r>
    <x v="2"/>
    <m/>
    <x v="18"/>
    <n v="12500"/>
    <x v="18"/>
    <n v="1500"/>
  </r>
  <r>
    <x v="2"/>
    <m/>
    <x v="19"/>
    <n v="48000"/>
    <x v="19"/>
    <n v="100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r>
  <r>
    <x v="1"/>
    <x v="0"/>
  </r>
  <r>
    <x v="2"/>
    <x v="1"/>
  </r>
  <r>
    <x v="3"/>
    <x v="0"/>
  </r>
  <r>
    <x v="4"/>
    <x v="1"/>
  </r>
  <r>
    <x v="5"/>
    <x v="2"/>
  </r>
  <r>
    <x v="6"/>
    <x v="1"/>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47500"/>
  </r>
  <r>
    <x v="1"/>
    <n v="65000"/>
  </r>
  <r>
    <x v="2"/>
    <n v="56666.666666666599"/>
  </r>
  <r>
    <x v="3"/>
    <n v="57000"/>
  </r>
  <r>
    <x v="4"/>
    <n v="59333.333333333299"/>
  </r>
  <r>
    <x v="5"/>
    <n v="74600"/>
  </r>
  <r>
    <x v="6"/>
    <n v="62666.666666666599"/>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r>
  <r>
    <x v="1"/>
    <x v="0"/>
    <x v="0"/>
  </r>
  <r>
    <x v="2"/>
    <x v="0"/>
    <x v="0"/>
  </r>
  <r>
    <x v="3"/>
    <x v="1"/>
    <x v="1"/>
  </r>
  <r>
    <x v="4"/>
    <x v="1"/>
    <x v="1"/>
  </r>
  <r>
    <x v="0"/>
    <x v="1"/>
    <x v="1"/>
  </r>
  <r>
    <x v="2"/>
    <x v="1"/>
    <x v="1"/>
  </r>
  <r>
    <x v="5"/>
    <x v="1"/>
    <x v="1"/>
  </r>
  <r>
    <x v="6"/>
    <x v="2"/>
    <x v="2"/>
  </r>
  <r>
    <x v="1"/>
    <x v="2"/>
    <x v="2"/>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s v="Arafat Hossen"/>
    <s v="Male"/>
    <s v="IT"/>
    <s v="Data Analyst"/>
    <x v="0"/>
    <n v="65000"/>
    <s v="Active"/>
    <d v="2025-01-01T00:00:00"/>
    <s v="Present"/>
    <d v="2025-01-05T00:00:00"/>
    <n v="5"/>
    <d v="2024-01-15T00:00:00"/>
    <s v="Better career opportunity"/>
  </r>
  <r>
    <n v="2"/>
    <s v="Nusrat Jahan"/>
    <s v="Female"/>
    <s v="HR"/>
    <s v="HR Executive"/>
    <x v="1"/>
    <n v="48000"/>
    <s v="Active"/>
    <d v="2025-01-01T00:00:00"/>
    <s v="Present"/>
    <d v="2025-01-05T00:00:00"/>
    <n v="4"/>
    <d v="2024-02-10T00:00:00"/>
    <s v="Personal reasons"/>
  </r>
  <r>
    <n v="3"/>
    <s v="Rahim Uddin"/>
    <s v="Male"/>
    <s v="Finance"/>
    <s v="Accountant"/>
    <x v="2"/>
    <n v="52000"/>
    <s v="Active"/>
    <d v="2025-01-01T00:00:00"/>
    <s v="Absent"/>
    <d v="2025-01-05T00:00:00"/>
    <n v="3"/>
    <d v="2024-03-05T00:00:00"/>
    <s v="Low salary"/>
  </r>
  <r>
    <n v="4"/>
    <s v="Sadia Islam"/>
    <s v="Female"/>
    <s v="Marketing"/>
    <s v="Marketing Officer"/>
    <x v="3"/>
    <n v="50000"/>
    <s v="Active"/>
    <d v="2025-01-01T00:00:00"/>
    <s v="Present"/>
    <d v="2025-01-05T00:00:00"/>
    <n v="4"/>
    <d v="2024-03-20T00:00:00"/>
    <s v="Work-life balance issues"/>
  </r>
  <r>
    <n v="5"/>
    <s v="Tanvir Hasan"/>
    <s v="Male"/>
    <s v="IT"/>
    <s v="Software Engineer"/>
    <x v="4"/>
    <n v="75000"/>
    <s v="Active"/>
    <d v="2025-01-01T00:00:00"/>
    <s v="Present"/>
    <d v="2025-01-05T00:00:00"/>
    <n v="5"/>
    <d v="2024-04-12T00:00:00"/>
    <s v="Higher studies"/>
  </r>
  <r>
    <n v="6"/>
    <s v="Sumaiya Akter"/>
    <s v="Female"/>
    <s v="Sales"/>
    <s v="Sales Executive"/>
    <x v="5"/>
    <n v="46000"/>
    <s v="Active"/>
    <d v="2025-01-01T00:00:00"/>
    <s v="Late"/>
    <d v="2025-01-05T00:00:00"/>
    <n v="4"/>
    <d v="2024-04-28T00:00:00"/>
    <s v="Health issues"/>
  </r>
  <r>
    <n v="7"/>
    <s v="Hasan Mahmud"/>
    <s v="Male"/>
    <s v="Operations"/>
    <s v="Operations Manager"/>
    <x v="6"/>
    <n v="82000"/>
    <s v="Active"/>
    <d v="2025-01-01T00:00:00"/>
    <s v="Present"/>
    <d v="2025-01-05T00:00:00"/>
    <n v="5"/>
    <d v="2024-05-10T00:00:00"/>
    <s v="Relocation"/>
  </r>
  <r>
    <n v="8"/>
    <s v="Anika Sultana"/>
    <s v="Female"/>
    <s v="IT"/>
    <s v="Business Analyst"/>
    <x v="7"/>
    <n v="68000"/>
    <s v="Active"/>
    <d v="2025-01-01T00:00:00"/>
    <s v="Present"/>
    <d v="2025-01-05T00:00:00"/>
    <n v="4"/>
    <d v="2024-05-22T00:00:00"/>
    <s v="Job dissatisfaction"/>
  </r>
  <r>
    <n v="9"/>
    <s v="Imran Hossain"/>
    <s v="Male"/>
    <s v="Finance"/>
    <s v="Financial Analyst"/>
    <x v="8"/>
    <n v="60000"/>
    <s v="Active"/>
    <d v="2025-01-01T00:00:00"/>
    <s v="Absent"/>
    <d v="2025-01-05T00:00:00"/>
    <n v="3"/>
    <d v="2024-06-01T00:00:00"/>
    <s v="Performance pressure"/>
  </r>
  <r>
    <n v="10"/>
    <s v="Tania Ahmed"/>
    <s v="Female"/>
    <s v="HR"/>
    <s v="HR Manager"/>
    <x v="9"/>
    <n v="90000"/>
    <s v="Active"/>
    <d v="2025-01-01T00:00:00"/>
    <s v="Present"/>
    <d v="2025-01-05T00:00:00"/>
    <n v="4"/>
    <d v="2024-06-15T00:00:00"/>
    <s v="Career change"/>
  </r>
  <r>
    <n v="11"/>
    <s v="Rafiul Islam"/>
    <s v="Male"/>
    <s v="Sales"/>
    <s v="Sales Manager"/>
    <x v="10"/>
    <n v="85000"/>
    <s v="Active"/>
    <d v="2025-01-02T00:00:00"/>
    <s v="Present"/>
    <d v="2025-02-05T00:00:00"/>
    <n v="5"/>
    <d v="2024-07-05T00:00:00"/>
    <s v="Better compensation offer"/>
  </r>
  <r>
    <n v="12"/>
    <s v="Jannatul Ferdous"/>
    <s v="Female"/>
    <s v="Customer Support"/>
    <s v="Support Officer"/>
    <x v="11"/>
    <n v="42000"/>
    <s v="Active"/>
    <d v="2025-01-02T00:00:00"/>
    <s v="Late"/>
    <d v="2025-02-05T00:00:00"/>
    <n v="4"/>
    <d v="2024-07-18T00:00:00"/>
    <s v="Family issues"/>
  </r>
  <r>
    <n v="13"/>
    <s v="Nazmul Huda"/>
    <s v="Male"/>
    <s v="IT"/>
    <s v="System Administrator"/>
    <x v="12"/>
    <n v="70000"/>
    <s v="Active"/>
    <d v="2025-01-02T00:00:00"/>
    <s v="Present"/>
    <d v="2025-02-05T00:00:00"/>
    <n v="4"/>
    <d v="2024-08-02T00:00:00"/>
    <s v="Lack of growth opportunities"/>
  </r>
  <r>
    <n v="14"/>
    <s v="Mahbub Alam"/>
    <s v="Male"/>
    <s v="Operations"/>
    <s v="Logistics Officer"/>
    <x v="13"/>
    <n v="48000"/>
    <s v="Resigned"/>
    <d v="2025-01-02T00:00:00"/>
    <s v="Absent"/>
    <d v="2025-02-05T00:00:00"/>
    <n v="3"/>
    <d v="2024-08-20T00:00:00"/>
    <s v="Management issues"/>
  </r>
  <r>
    <n v="15"/>
    <s v="Sumi Akter"/>
    <s v="Female"/>
    <s v="Marketing"/>
    <s v="Content Specialist"/>
    <x v="14"/>
    <n v="45000"/>
    <s v="Active"/>
    <d v="2025-01-02T00:00:00"/>
    <s v="Present"/>
    <d v="2025-02-05T00:00:00"/>
    <n v="4"/>
    <d v="2024-09-07T00:00:00"/>
    <s v="Work environment"/>
  </r>
  <r>
    <n v="16"/>
    <s v="Fahim Chowdhury"/>
    <s v="Male"/>
    <s v="Finance"/>
    <s v="Audit Officer"/>
    <x v="15"/>
    <n v="58000"/>
    <s v="Resigned"/>
    <d v="2025-01-02T00:00:00"/>
    <s v="Present"/>
    <d v="2025-02-05T00:00:00"/>
    <n v="3"/>
    <d v="2024-09-25T00:00:00"/>
    <s v="Job security concerns"/>
  </r>
  <r>
    <n v="17"/>
    <s v="Anwar Hossain"/>
    <s v="Male"/>
    <s v="Sales"/>
    <s v="Sales Representative"/>
    <x v="16"/>
    <n v="47000"/>
    <s v="Active"/>
    <d v="2025-01-02T00:00:00"/>
    <s v="Late"/>
    <d v="2025-02-05T00:00:00"/>
    <n v="4"/>
    <d v="2024-10-10T00:00:00"/>
    <s v="Shift timing issues"/>
  </r>
  <r>
    <n v="18"/>
    <s v="Rumana Karim"/>
    <s v="Female"/>
    <s v="HR"/>
    <s v="Recruitment Officer"/>
    <x v="17"/>
    <n v="50000"/>
    <s v="Active"/>
    <d v="2025-01-02T00:00:00"/>
    <s v="Present"/>
    <d v="2025-02-05T00:00:00"/>
    <n v="4"/>
    <d v="2024-10-28T00:00:00"/>
    <s v="Career advancement"/>
  </r>
  <r>
    <n v="19"/>
    <s v="Shakib Hasan"/>
    <s v="Male"/>
    <s v="IT"/>
    <s v="Database Administrator"/>
    <x v="18"/>
    <n v="95000"/>
    <s v="Active"/>
    <d v="2025-01-02T00:00:00"/>
    <s v="Present"/>
    <d v="2025-02-05T00:00:00"/>
    <n v="5"/>
    <d v="2024-11-12T00:00:00"/>
    <s v="Retirement"/>
  </r>
  <r>
    <n v="20"/>
    <s v="Mst. Farzana Begum"/>
    <s v="Female"/>
    <s v="Customer Support"/>
    <s v="Team Lead"/>
    <x v="19"/>
    <n v="72000"/>
    <s v="Active"/>
    <d v="2025-01-02T00:00:00"/>
    <s v="Absent"/>
    <d v="2025-02-05T00:00:00"/>
    <n v="4"/>
    <d v="2024-12-01T00:00:00"/>
    <s v="Personal busines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BC2D62-AFA0-43B6-A1A4-2BA0C300D9F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7:P18" firstHeaderRow="0" firstDataRow="1" firstDataCol="1"/>
  <pivotFields count="8">
    <pivotField showAll="0"/>
    <pivotField showAll="0">
      <items count="11">
        <item x="0"/>
        <item x="6"/>
        <item x="8"/>
        <item x="3"/>
        <item x="9"/>
        <item x="4"/>
        <item x="2"/>
        <item x="1"/>
        <item x="5"/>
        <item x="7"/>
        <item t="default"/>
      </items>
    </pivotField>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dataField="1" numFmtId="164" showAll="0"/>
    <pivotField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Sales Value2" fld="6" baseField="0" baseItem="0" numFmtId="164"/>
    <dataField name="Sum of Sales Value1" fld="5" baseField="0" baseItem="0" numFmtId="164"/>
  </dataFields>
  <chartFormats count="22">
    <chartFormat chart="5" format="0" series="1">
      <pivotArea type="data" outline="0" fieldPosition="0">
        <references count="1">
          <reference field="4294967294" count="1" selected="0">
            <x v="1"/>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1"/>
          </reference>
          <reference field="2" count="1" selected="0">
            <x v="0"/>
          </reference>
        </references>
      </pivotArea>
    </chartFormat>
    <chartFormat chart="5" format="3">
      <pivotArea type="data" outline="0" fieldPosition="0">
        <references count="2">
          <reference field="4294967294" count="1" selected="0">
            <x v="1"/>
          </reference>
          <reference field="2" count="1" selected="0">
            <x v="1"/>
          </reference>
        </references>
      </pivotArea>
    </chartFormat>
    <chartFormat chart="5" format="4">
      <pivotArea type="data" outline="0" fieldPosition="0">
        <references count="2">
          <reference field="4294967294" count="1" selected="0">
            <x v="1"/>
          </reference>
          <reference field="2" count="1" selected="0">
            <x v="2"/>
          </reference>
        </references>
      </pivotArea>
    </chartFormat>
    <chartFormat chart="5" format="5">
      <pivotArea type="data" outline="0" fieldPosition="0">
        <references count="2">
          <reference field="4294967294" count="1" selected="0">
            <x v="1"/>
          </reference>
          <reference field="2" count="1" selected="0">
            <x v="3"/>
          </reference>
        </references>
      </pivotArea>
    </chartFormat>
    <chartFormat chart="5" format="6">
      <pivotArea type="data" outline="0" fieldPosition="0">
        <references count="2">
          <reference field="4294967294" count="1" selected="0">
            <x v="1"/>
          </reference>
          <reference field="2" count="1" selected="0">
            <x v="4"/>
          </reference>
        </references>
      </pivotArea>
    </chartFormat>
    <chartFormat chart="5" format="7">
      <pivotArea type="data" outline="0" fieldPosition="0">
        <references count="2">
          <reference field="4294967294" count="1" selected="0">
            <x v="1"/>
          </reference>
          <reference field="2" count="1" selected="0">
            <x v="5"/>
          </reference>
        </references>
      </pivotArea>
    </chartFormat>
    <chartFormat chart="5" format="8">
      <pivotArea type="data" outline="0" fieldPosition="0">
        <references count="2">
          <reference field="4294967294" count="1" selected="0">
            <x v="1"/>
          </reference>
          <reference field="2" count="1" selected="0">
            <x v="6"/>
          </reference>
        </references>
      </pivotArea>
    </chartFormat>
    <chartFormat chart="5" format="9">
      <pivotArea type="data" outline="0" fieldPosition="0">
        <references count="2">
          <reference field="4294967294" count="1" selected="0">
            <x v="1"/>
          </reference>
          <reference field="2" count="1" selected="0">
            <x v="7"/>
          </reference>
        </references>
      </pivotArea>
    </chartFormat>
    <chartFormat chart="5" format="10">
      <pivotArea type="data" outline="0" fieldPosition="0">
        <references count="2">
          <reference field="4294967294" count="1" selected="0">
            <x v="1"/>
          </reference>
          <reference field="2" count="1" selected="0">
            <x v="8"/>
          </reference>
        </references>
      </pivotArea>
    </chartFormat>
    <chartFormat chart="5" format="11">
      <pivotArea type="data" outline="0" fieldPosition="0">
        <references count="2">
          <reference field="4294967294" count="1" selected="0">
            <x v="1"/>
          </reference>
          <reference field="2" count="1" selected="0">
            <x v="9"/>
          </reference>
        </references>
      </pivotArea>
    </chartFormat>
    <chartFormat chart="5" format="12">
      <pivotArea type="data" outline="0" fieldPosition="0">
        <references count="2">
          <reference field="4294967294" count="1" selected="0">
            <x v="0"/>
          </reference>
          <reference field="2" count="1" selected="0">
            <x v="0"/>
          </reference>
        </references>
      </pivotArea>
    </chartFormat>
    <chartFormat chart="5" format="13">
      <pivotArea type="data" outline="0" fieldPosition="0">
        <references count="2">
          <reference field="4294967294" count="1" selected="0">
            <x v="0"/>
          </reference>
          <reference field="2" count="1" selected="0">
            <x v="1"/>
          </reference>
        </references>
      </pivotArea>
    </chartFormat>
    <chartFormat chart="5" format="14">
      <pivotArea type="data" outline="0" fieldPosition="0">
        <references count="2">
          <reference field="4294967294" count="1" selected="0">
            <x v="0"/>
          </reference>
          <reference field="2" count="1" selected="0">
            <x v="2"/>
          </reference>
        </references>
      </pivotArea>
    </chartFormat>
    <chartFormat chart="5" format="15">
      <pivotArea type="data" outline="0" fieldPosition="0">
        <references count="2">
          <reference field="4294967294" count="1" selected="0">
            <x v="0"/>
          </reference>
          <reference field="2" count="1" selected="0">
            <x v="3"/>
          </reference>
        </references>
      </pivotArea>
    </chartFormat>
    <chartFormat chart="5" format="16">
      <pivotArea type="data" outline="0" fieldPosition="0">
        <references count="2">
          <reference field="4294967294" count="1" selected="0">
            <x v="0"/>
          </reference>
          <reference field="2" count="1" selected="0">
            <x v="4"/>
          </reference>
        </references>
      </pivotArea>
    </chartFormat>
    <chartFormat chart="5" format="17">
      <pivotArea type="data" outline="0" fieldPosition="0">
        <references count="2">
          <reference field="4294967294" count="1" selected="0">
            <x v="0"/>
          </reference>
          <reference field="2" count="1" selected="0">
            <x v="5"/>
          </reference>
        </references>
      </pivotArea>
    </chartFormat>
    <chartFormat chart="5" format="18">
      <pivotArea type="data" outline="0" fieldPosition="0">
        <references count="2">
          <reference field="4294967294" count="1" selected="0">
            <x v="0"/>
          </reference>
          <reference field="2" count="1" selected="0">
            <x v="6"/>
          </reference>
        </references>
      </pivotArea>
    </chartFormat>
    <chartFormat chart="5" format="19">
      <pivotArea type="data" outline="0" fieldPosition="0">
        <references count="2">
          <reference field="4294967294" count="1" selected="0">
            <x v="0"/>
          </reference>
          <reference field="2" count="1" selected="0">
            <x v="7"/>
          </reference>
        </references>
      </pivotArea>
    </chartFormat>
    <chartFormat chart="5" format="20">
      <pivotArea type="data" outline="0" fieldPosition="0">
        <references count="2">
          <reference field="4294967294" count="1" selected="0">
            <x v="0"/>
          </reference>
          <reference field="2" count="1" selected="0">
            <x v="8"/>
          </reference>
        </references>
      </pivotArea>
    </chartFormat>
    <chartFormat chart="5" format="21">
      <pivotArea type="data" outline="0" fieldPosition="0">
        <references count="2">
          <reference field="4294967294" count="1" selected="0">
            <x v="0"/>
          </reference>
          <reference field="2" count="1" selected="0">
            <x v="9"/>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0BDAD2-FEC9-413A-978B-D744E49204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L17" firstHeaderRow="1" firstDataRow="2" firstDataCol="1"/>
  <pivotFields count="8">
    <pivotField showAll="0"/>
    <pivotField axis="axisRow" showAll="0">
      <items count="11">
        <item x="0"/>
        <item x="6"/>
        <item x="8"/>
        <item x="3"/>
        <item x="9"/>
        <item x="4"/>
        <item x="2"/>
        <item x="1"/>
        <item x="5"/>
        <item x="7"/>
        <item t="default"/>
      </items>
    </pivotField>
    <pivotField axis="axisCol" showAll="0">
      <items count="11">
        <item x="0"/>
        <item x="1"/>
        <item x="2"/>
        <item x="3"/>
        <item x="4"/>
        <item x="5"/>
        <item x="6"/>
        <item x="7"/>
        <item x="8"/>
        <item x="9"/>
        <item t="default"/>
      </items>
    </pivotField>
    <pivotField showAll="0"/>
    <pivotField showAll="0"/>
    <pivotField dataField="1" numFmtId="164" showAll="0"/>
    <pivotField numFmtId="164" showAll="0"/>
    <pivotField showAll="0"/>
  </pivotFields>
  <rowFields count="1">
    <field x="1"/>
  </rowFields>
  <rowItems count="11">
    <i>
      <x/>
    </i>
    <i>
      <x v="1"/>
    </i>
    <i>
      <x v="2"/>
    </i>
    <i>
      <x v="3"/>
    </i>
    <i>
      <x v="4"/>
    </i>
    <i>
      <x v="5"/>
    </i>
    <i>
      <x v="6"/>
    </i>
    <i>
      <x v="7"/>
    </i>
    <i>
      <x v="8"/>
    </i>
    <i>
      <x v="9"/>
    </i>
    <i t="grand">
      <x/>
    </i>
  </rowItems>
  <colFields count="1">
    <field x="2"/>
  </colFields>
  <colItems count="11">
    <i>
      <x/>
    </i>
    <i>
      <x v="1"/>
    </i>
    <i>
      <x v="2"/>
    </i>
    <i>
      <x v="3"/>
    </i>
    <i>
      <x v="4"/>
    </i>
    <i>
      <x v="5"/>
    </i>
    <i>
      <x v="6"/>
    </i>
    <i>
      <x v="7"/>
    </i>
    <i>
      <x v="8"/>
    </i>
    <i>
      <x v="9"/>
    </i>
    <i t="grand">
      <x/>
    </i>
  </colItems>
  <dataFields count="1">
    <dataField name="Sum of Sales Value1" fld="5" baseField="0" baseItem="0" numFmtId="164"/>
  </dataField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9D401C-A31B-47E1-81BC-36702FBECC9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R7:T15" firstHeaderRow="0" firstDataRow="1" firstDataCol="1"/>
  <pivotFields count="8">
    <pivotField showAll="0"/>
    <pivotField showAll="0">
      <items count="11">
        <item x="0"/>
        <item x="6"/>
        <item x="8"/>
        <item x="3"/>
        <item x="9"/>
        <item x="4"/>
        <item x="2"/>
        <item x="1"/>
        <item x="5"/>
        <item x="7"/>
        <item t="default"/>
      </items>
    </pivotField>
    <pivotField showAll="0">
      <items count="11">
        <item h="1" x="0"/>
        <item h="1" x="1"/>
        <item x="2"/>
        <item h="1" x="3"/>
        <item h="1" x="4"/>
        <item h="1" x="5"/>
        <item h="1" x="6"/>
        <item h="1" x="7"/>
        <item h="1" x="8"/>
        <item h="1" x="9"/>
        <item t="default"/>
      </items>
    </pivotField>
    <pivotField showAll="0"/>
    <pivotField axis="axisRow" showAll="0" sortType="descending">
      <items count="8">
        <item x="1"/>
        <item x="2"/>
        <item x="3"/>
        <item x="4"/>
        <item x="5"/>
        <item x="6"/>
        <item x="0"/>
        <item t="default"/>
      </items>
      <autoSortScope>
        <pivotArea dataOnly="0" outline="0" fieldPosition="0">
          <references count="1">
            <reference field="4294967294" count="1" selected="0">
              <x v="0"/>
            </reference>
          </references>
        </pivotArea>
      </autoSortScope>
    </pivotField>
    <pivotField dataField="1" numFmtId="164" showAll="0"/>
    <pivotField dataField="1" numFmtId="164" showAll="0"/>
    <pivotField showAll="0"/>
  </pivotFields>
  <rowFields count="1">
    <field x="4"/>
  </rowFields>
  <rowItems count="8">
    <i>
      <x v="2"/>
    </i>
    <i>
      <x v="6"/>
    </i>
    <i>
      <x v="3"/>
    </i>
    <i>
      <x/>
    </i>
    <i>
      <x v="4"/>
    </i>
    <i>
      <x v="1"/>
    </i>
    <i>
      <x v="5"/>
    </i>
    <i t="grand">
      <x/>
    </i>
  </rowItems>
  <colFields count="1">
    <field x="-2"/>
  </colFields>
  <colItems count="2">
    <i>
      <x/>
    </i>
    <i i="1">
      <x v="1"/>
    </i>
  </colItems>
  <dataFields count="2">
    <dataField name="Average of Sales Value2" fld="6" subtotal="average" baseField="4" baseItem="6" numFmtId="164"/>
    <dataField name="Average of Sales Value1" fld="5" subtotal="average" baseField="4" baseItem="2" numFmtId="164"/>
  </dataFields>
  <chartFormats count="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6033FE-E27D-4DF4-87BB-71F1C0097B1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1:F52" firstHeaderRow="1" firstDataRow="1" firstDataCol="1"/>
  <pivotFields count="8">
    <pivotField showAll="0"/>
    <pivotField axis="axisRow" showAll="0">
      <items count="11">
        <item x="0"/>
        <item x="6"/>
        <item x="8"/>
        <item x="3"/>
        <item x="9"/>
        <item x="4"/>
        <item x="2"/>
        <item x="1"/>
        <item x="5"/>
        <item x="7"/>
        <item t="default"/>
      </items>
    </pivotField>
    <pivotField showAll="0"/>
    <pivotField showAll="0"/>
    <pivotField showAll="0">
      <items count="8">
        <item x="1"/>
        <item x="2"/>
        <item x="3"/>
        <item x="4"/>
        <item x="5"/>
        <item x="6"/>
        <item x="0"/>
        <item t="default"/>
      </items>
    </pivotField>
    <pivotField numFmtId="164" showAll="0"/>
    <pivotField dataField="1" numFmtId="164" showAll="0"/>
    <pivotField axis="axisRow" showAll="0">
      <items count="4">
        <item x="0"/>
        <item x="2"/>
        <item x="1"/>
        <item t="default"/>
      </items>
    </pivotField>
  </pivotFields>
  <rowFields count="2">
    <field x="1"/>
    <field x="7"/>
  </rowFields>
  <rowItems count="21">
    <i>
      <x/>
    </i>
    <i r="1">
      <x/>
    </i>
    <i>
      <x v="1"/>
    </i>
    <i r="1">
      <x v="2"/>
    </i>
    <i>
      <x v="2"/>
    </i>
    <i r="1">
      <x v="1"/>
    </i>
    <i>
      <x v="3"/>
    </i>
    <i r="1">
      <x v="2"/>
    </i>
    <i>
      <x v="4"/>
    </i>
    <i r="1">
      <x v="1"/>
    </i>
    <i>
      <x v="5"/>
    </i>
    <i r="1">
      <x v="2"/>
    </i>
    <i>
      <x v="6"/>
    </i>
    <i r="1">
      <x v="2"/>
    </i>
    <i>
      <x v="7"/>
    </i>
    <i r="1">
      <x v="2"/>
    </i>
    <i>
      <x v="8"/>
    </i>
    <i r="1">
      <x v="2"/>
    </i>
    <i>
      <x v="9"/>
    </i>
    <i r="1">
      <x v="1"/>
    </i>
    <i t="grand">
      <x/>
    </i>
  </rowItems>
  <colItems count="1">
    <i/>
  </colItems>
  <dataFields count="1">
    <dataField name="Sum of Sales Value2"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751EF6-ED45-4C09-AD27-97CB43A56B1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9:J40" firstHeaderRow="1" firstDataRow="1" firstDataCol="1"/>
  <pivotFields count="8">
    <pivotField showAll="0"/>
    <pivotField axis="axisRow" showAll="0">
      <items count="11">
        <item x="0"/>
        <item x="6"/>
        <item x="8"/>
        <item x="3"/>
        <item x="9"/>
        <item x="4"/>
        <item x="2"/>
        <item x="1"/>
        <item x="5"/>
        <item x="7"/>
        <item t="default"/>
      </items>
    </pivotField>
    <pivotField showAll="0"/>
    <pivotField showAll="0"/>
    <pivotField showAll="0"/>
    <pivotField numFmtId="164" showAll="0"/>
    <pivotField dataField="1" numFmtId="164" showAll="0"/>
    <pivotField showAll="0"/>
  </pivotFields>
  <rowFields count="1">
    <field x="1"/>
  </rowFields>
  <rowItems count="11">
    <i>
      <x/>
    </i>
    <i>
      <x v="1"/>
    </i>
    <i>
      <x v="2"/>
    </i>
    <i>
      <x v="3"/>
    </i>
    <i>
      <x v="4"/>
    </i>
    <i>
      <x v="5"/>
    </i>
    <i>
      <x v="6"/>
    </i>
    <i>
      <x v="7"/>
    </i>
    <i>
      <x v="8"/>
    </i>
    <i>
      <x v="9"/>
    </i>
    <i t="grand">
      <x/>
    </i>
  </rowItems>
  <colItems count="1">
    <i/>
  </colItems>
  <dataFields count="1">
    <dataField name="Sum of Sales Value2"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EFC349-B8C7-422D-9BBD-FE60013571C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5:D46" firstHeaderRow="0" firstDataRow="1" firstDataCol="1"/>
  <pivotFields count="8">
    <pivotField showAll="0"/>
    <pivotField showAll="0">
      <items count="11">
        <item x="0"/>
        <item x="6"/>
        <item x="8"/>
        <item x="3"/>
        <item x="9"/>
        <item x="4"/>
        <item x="2"/>
        <item x="1"/>
        <item x="5"/>
        <item x="7"/>
        <item t="default"/>
      </items>
    </pivotField>
    <pivotField axis="axisRow" showAll="0">
      <items count="11">
        <item x="0"/>
        <item x="1"/>
        <item x="2"/>
        <item x="3"/>
        <item x="4"/>
        <item x="5"/>
        <item x="6"/>
        <item x="7"/>
        <item x="8"/>
        <item x="9"/>
        <item t="default"/>
      </items>
    </pivotField>
    <pivotField showAll="0"/>
    <pivotField showAll="0"/>
    <pivotField dataField="1" numFmtId="164" showAll="0"/>
    <pivotField dataField="1" numFmtId="164" showAll="0"/>
    <pivotField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Sales Value1" fld="5" baseField="0" baseItem="0" numFmtId="164"/>
    <dataField name="Sum of Sales Value2"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B21128-A7FA-4D87-9DC2-E4F05BB9821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23:D29" firstHeaderRow="1" firstDataRow="1" firstDataCol="1"/>
  <pivotFields count="9">
    <pivotField axis="axisRow" showAll="0" sortType="descending">
      <items count="19">
        <item h="1" x="17"/>
        <item h="1" x="12"/>
        <item h="1" x="10"/>
        <item x="16"/>
        <item x="15"/>
        <item h="1" x="7"/>
        <item h="1" x="2"/>
        <item h="1" x="13"/>
        <item h="1" x="1"/>
        <item h="1" x="14"/>
        <item h="1" x="3"/>
        <item x="8"/>
        <item x="0"/>
        <item h="1" x="6"/>
        <item h="1" x="11"/>
        <item h="1" x="9"/>
        <item h="1" x="4"/>
        <item x="5"/>
        <item t="default"/>
      </items>
      <autoSortScope>
        <pivotArea dataOnly="0" outline="0" fieldPosition="0">
          <references count="1">
            <reference field="4294967294" count="1" selected="0">
              <x v="0"/>
            </reference>
          </references>
        </pivotArea>
      </autoSortScope>
    </pivotField>
    <pivotField showAll="0"/>
    <pivotField showAll="0">
      <items count="11">
        <item x="8"/>
        <item h="1" x="3"/>
        <item h="1" x="9"/>
        <item x="1"/>
        <item h="1" x="0"/>
        <item x="5"/>
        <item h="1" x="4"/>
        <item x="2"/>
        <item x="7"/>
        <item h="1" x="6"/>
        <item t="default"/>
      </items>
    </pivotField>
    <pivotField showAll="0"/>
    <pivotField dataField="1" showAll="0"/>
    <pivotField numFmtId="14" showAll="0">
      <items count="19">
        <item x="0"/>
        <item x="1"/>
        <item x="2"/>
        <item x="3"/>
        <item x="4"/>
        <item x="5"/>
        <item x="6"/>
        <item x="7"/>
        <item x="8"/>
        <item x="9"/>
        <item x="10"/>
        <item x="11"/>
        <item x="12"/>
        <item x="13"/>
        <item x="14"/>
        <item x="15"/>
        <item x="16"/>
        <item x="1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v="12"/>
    </i>
    <i>
      <x v="11"/>
    </i>
    <i>
      <x v="17"/>
    </i>
    <i>
      <x v="4"/>
    </i>
    <i>
      <x v="3"/>
    </i>
    <i t="grand">
      <x/>
    </i>
  </rowItems>
  <colItems count="1">
    <i/>
  </colItems>
  <dataFields count="1">
    <dataField name="Sum of price"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3AAE9E-EC05-4FC4-BE39-EAFEB9E3302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5:I31" firstHeaderRow="1" firstDataRow="1" firstDataCol="1"/>
  <pivotFields count="9">
    <pivotField showAll="0"/>
    <pivotField showAll="0"/>
    <pivotField axis="axisRow" showAll="0" sortType="descending">
      <items count="11">
        <item x="8"/>
        <item h="1" x="3"/>
        <item h="1" x="9"/>
        <item x="1"/>
        <item h="1" x="0"/>
        <item x="5"/>
        <item h="1" x="4"/>
        <item x="2"/>
        <item x="7"/>
        <item h="1" x="6"/>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19">
        <item x="0"/>
        <item x="1"/>
        <item x="2"/>
        <item x="3"/>
        <item x="4"/>
        <item x="5"/>
        <item x="6"/>
        <item x="7"/>
        <item x="8"/>
        <item x="9"/>
        <item x="10"/>
        <item x="11"/>
        <item x="12"/>
        <item x="13"/>
        <item x="14"/>
        <item x="15"/>
        <item x="16"/>
        <item x="17"/>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8"/>
    </i>
    <i>
      <x v="7"/>
    </i>
    <i>
      <x v="5"/>
    </i>
    <i>
      <x/>
    </i>
    <i>
      <x v="3"/>
    </i>
    <i t="grand">
      <x/>
    </i>
  </rowItems>
  <colItems count="1">
    <i/>
  </colItems>
  <dataFields count="1">
    <dataField name="Sum of quanatity" fld="6"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8"/>
          </reference>
        </references>
      </pivotArea>
    </chartFormat>
    <chartFormat chart="3" format="9">
      <pivotArea type="data" outline="0" fieldPosition="0">
        <references count="2">
          <reference field="4294967294" count="1" selected="0">
            <x v="0"/>
          </reference>
          <reference field="2" count="1" selected="0">
            <x v="7"/>
          </reference>
        </references>
      </pivotArea>
    </chartFormat>
    <chartFormat chart="3" format="10">
      <pivotArea type="data" outline="0" fieldPosition="0">
        <references count="2">
          <reference field="4294967294" count="1" selected="0">
            <x v="0"/>
          </reference>
          <reference field="2" count="1" selected="0">
            <x v="5"/>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B87613-B44D-4462-8755-CA4E79FE525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15:N20" firstHeaderRow="0" firstDataRow="1" firstDataCol="1"/>
  <pivotFields count="9">
    <pivotField showAll="0">
      <items count="19">
        <item x="17"/>
        <item x="12"/>
        <item x="10"/>
        <item x="16"/>
        <item x="15"/>
        <item x="7"/>
        <item x="2"/>
        <item x="13"/>
        <item x="1"/>
        <item x="14"/>
        <item x="3"/>
        <item x="8"/>
        <item x="0"/>
        <item x="6"/>
        <item x="11"/>
        <item x="9"/>
        <item x="4"/>
        <item x="5"/>
        <item t="default"/>
      </items>
    </pivotField>
    <pivotField showAll="0">
      <items count="6">
        <item x="0"/>
        <item x="4"/>
        <item x="1"/>
        <item x="3"/>
        <item x="2"/>
        <item t="default"/>
      </items>
    </pivotField>
    <pivotField showAll="0">
      <items count="11">
        <item x="8"/>
        <item x="3"/>
        <item x="9"/>
        <item x="1"/>
        <item x="0"/>
        <item x="5"/>
        <item x="4"/>
        <item x="2"/>
        <item x="7"/>
        <item x="6"/>
        <item t="default"/>
      </items>
    </pivotField>
    <pivotField showAll="0"/>
    <pivotField dataField="1" showAll="0"/>
    <pivotField axis="axisRow" numFmtId="14" showAll="0">
      <items count="19">
        <item x="0"/>
        <item x="1"/>
        <item x="2"/>
        <item x="3"/>
        <item x="4"/>
        <item x="5"/>
        <item x="6"/>
        <item x="7"/>
        <item x="8"/>
        <item x="9"/>
        <item x="10"/>
        <item x="11"/>
        <item x="12"/>
        <item x="13"/>
        <item x="14"/>
        <item x="15"/>
        <item x="16"/>
        <item x="17"/>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8"/>
    <field x="7"/>
    <field x="5"/>
  </rowFields>
  <rowItems count="5">
    <i>
      <x v="1"/>
    </i>
    <i>
      <x v="2"/>
    </i>
    <i>
      <x v="3"/>
    </i>
    <i>
      <x v="4"/>
    </i>
    <i t="grand">
      <x/>
    </i>
  </rowItems>
  <colFields count="1">
    <field x="-2"/>
  </colFields>
  <colItems count="2">
    <i>
      <x/>
    </i>
    <i i="1">
      <x v="1"/>
    </i>
  </colItems>
  <dataFields count="2">
    <dataField name="Sum of quanatity" fld="6" baseField="0" baseItem="0"/>
    <dataField name="Sum of price" fld="4"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3343A3-8110-4CC2-B4B4-4F90293E6F7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5:J21" firstHeaderRow="1" firstDataRow="1" firstDataCol="1"/>
  <pivotFields count="9">
    <pivotField showAll="0" sortType="descending">
      <items count="19">
        <item h="1" x="17"/>
        <item h="1" x="12"/>
        <item h="1" x="10"/>
        <item x="16"/>
        <item x="15"/>
        <item h="1" x="7"/>
        <item h="1" x="2"/>
        <item h="1" x="13"/>
        <item h="1" x="1"/>
        <item h="1" x="14"/>
        <item h="1" x="3"/>
        <item x="8"/>
        <item x="0"/>
        <item h="1" x="6"/>
        <item h="1" x="11"/>
        <item h="1" x="9"/>
        <item h="1" x="4"/>
        <item x="5"/>
        <item t="default"/>
      </items>
      <autoSortScope>
        <pivotArea dataOnly="0" outline="0" fieldPosition="0">
          <references count="1">
            <reference field="4294967294" count="1" selected="0">
              <x v="0"/>
            </reference>
          </references>
        </pivotArea>
      </autoSortScope>
    </pivotField>
    <pivotField axis="axisRow" showAll="0">
      <items count="6">
        <item x="0"/>
        <item x="4"/>
        <item x="1"/>
        <item x="3"/>
        <item x="2"/>
        <item t="default"/>
      </items>
    </pivotField>
    <pivotField showAll="0">
      <items count="11">
        <item x="8"/>
        <item h="1" x="3"/>
        <item h="1" x="9"/>
        <item x="1"/>
        <item h="1" x="0"/>
        <item x="5"/>
        <item h="1" x="4"/>
        <item x="2"/>
        <item x="7"/>
        <item h="1" x="6"/>
        <item t="default"/>
      </items>
    </pivotField>
    <pivotField showAll="0"/>
    <pivotField dataField="1" showAll="0"/>
    <pivotField numFmtId="14" showAll="0">
      <items count="19">
        <item x="0"/>
        <item x="1"/>
        <item x="2"/>
        <item x="3"/>
        <item x="4"/>
        <item x="5"/>
        <item x="6"/>
        <item x="7"/>
        <item x="8"/>
        <item x="9"/>
        <item x="10"/>
        <item x="11"/>
        <item x="12"/>
        <item x="13"/>
        <item x="14"/>
        <item x="15"/>
        <item x="16"/>
        <item x="1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Items count="1">
    <i/>
  </colItems>
  <dataFields count="1">
    <dataField name="Sum of price" fld="4" baseField="0" baseItem="0"/>
  </dataField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3" format="4">
      <pivotArea type="data" outline="0" fieldPosition="0">
        <references count="2">
          <reference field="4294967294" count="1" selected="0">
            <x v="0"/>
          </reference>
          <reference field="1" count="1" selected="0">
            <x v="2"/>
          </reference>
        </references>
      </pivotArea>
    </chartFormat>
    <chartFormat chart="3" format="5">
      <pivotArea type="data" outline="0" fieldPosition="0">
        <references count="2">
          <reference field="4294967294" count="1" selected="0">
            <x v="0"/>
          </reference>
          <reference field="1" count="1" selected="0">
            <x v="3"/>
          </reference>
        </references>
      </pivotArea>
    </chartFormat>
    <chartFormat chart="3" format="6">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89F562-AEAA-4DC6-B66B-FAD70219081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4:N9" firstHeaderRow="1" firstDataRow="1" firstDataCol="1"/>
  <pivotFields count="12">
    <pivotField showAll="0">
      <items count="17">
        <item x="8"/>
        <item x="2"/>
        <item x="15"/>
        <item x="5"/>
        <item x="10"/>
        <item x="9"/>
        <item x="11"/>
        <item x="3"/>
        <item x="7"/>
        <item x="1"/>
        <item x="6"/>
        <item x="12"/>
        <item x="0"/>
        <item x="14"/>
        <item x="4"/>
        <item x="13"/>
        <item t="default"/>
      </items>
    </pivotField>
    <pivotField showAll="0"/>
    <pivotField showAll="0"/>
    <pivotField axis="axisRow" showAll="0">
      <items count="5">
        <item x="2"/>
        <item x="0"/>
        <item x="1"/>
        <item x="3"/>
        <item t="default"/>
      </items>
    </pivotField>
    <pivotField dataField="1" showAll="0"/>
    <pivotField showAll="0">
      <items count="5">
        <item x="0"/>
        <item x="1"/>
        <item x="2"/>
        <item x="3"/>
        <item t="default"/>
      </items>
    </pivotField>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Top_students" fld="4"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7656612-0751-470A-9603-E603E959603E}"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22:N40" firstHeaderRow="0" firstDataRow="1" firstDataCol="1"/>
  <pivotFields count="12">
    <pivotField showAll="0">
      <items count="17">
        <item x="8"/>
        <item x="2"/>
        <item x="15"/>
        <item x="5"/>
        <item x="10"/>
        <item x="9"/>
        <item x="11"/>
        <item x="3"/>
        <item x="7"/>
        <item x="1"/>
        <item x="6"/>
        <item x="12"/>
        <item x="0"/>
        <item x="14"/>
        <item x="4"/>
        <item x="13"/>
        <item t="default"/>
      </items>
    </pivotField>
    <pivotField showAll="0"/>
    <pivotField showAll="0"/>
    <pivotField showAll="0">
      <items count="5">
        <item x="2"/>
        <item x="0"/>
        <item x="1"/>
        <item x="3"/>
        <item t="default"/>
      </items>
    </pivotField>
    <pivotField showAll="0"/>
    <pivotField showAll="0">
      <items count="5">
        <item x="0"/>
        <item x="1"/>
        <item x="2"/>
        <item x="3"/>
        <item t="default"/>
      </items>
    </pivotField>
    <pivotField showAll="0"/>
    <pivotField axis="axisRow" showAll="0">
      <items count="18">
        <item x="11"/>
        <item x="2"/>
        <item x="15"/>
        <item x="12"/>
        <item x="14"/>
        <item x="3"/>
        <item x="5"/>
        <item x="13"/>
        <item x="8"/>
        <item x="10"/>
        <item x="0"/>
        <item x="7"/>
        <item x="4"/>
        <item x="1"/>
        <item x="6"/>
        <item x="9"/>
        <item x="16"/>
        <item t="default"/>
      </items>
    </pivotField>
    <pivotField dataField="1" showAll="0"/>
    <pivotField dataField="1" showAll="0">
      <items count="16">
        <item x="0"/>
        <item x="1"/>
        <item x="2"/>
        <item x="3"/>
        <item x="4"/>
        <item x="5"/>
        <item x="6"/>
        <item x="7"/>
        <item x="8"/>
        <item x="9"/>
        <item x="10"/>
        <item x="11"/>
        <item x="12"/>
        <item x="13"/>
        <item x="14"/>
        <item t="default"/>
      </items>
    </pivotField>
    <pivotField showAll="0"/>
    <pivotField showAll="0"/>
  </pivotFields>
  <rowFields count="1">
    <field x="7"/>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total_marks" fld="8" baseField="0" baseItem="0"/>
    <dataField name="Sum of student_rank" fld="9"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ED14EFC-CD47-4B7F-B21B-FC3481753931}"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3:J28" firstHeaderRow="1" firstDataRow="1" firstDataCol="1"/>
  <pivotFields count="12">
    <pivotField showAll="0">
      <items count="17">
        <item x="8"/>
        <item x="2"/>
        <item x="15"/>
        <item x="5"/>
        <item x="10"/>
        <item x="9"/>
        <item x="11"/>
        <item x="3"/>
        <item x="7"/>
        <item x="1"/>
        <item x="6"/>
        <item x="12"/>
        <item x="0"/>
        <item x="14"/>
        <item x="4"/>
        <item x="13"/>
        <item t="default"/>
      </items>
    </pivotField>
    <pivotField showAll="0"/>
    <pivotField showAll="0"/>
    <pivotField showAll="0">
      <items count="5">
        <item x="2"/>
        <item x="0"/>
        <item x="1"/>
        <item x="3"/>
        <item t="default"/>
      </items>
    </pivotField>
    <pivotField showAll="0"/>
    <pivotField axis="axisRow" showAll="0">
      <items count="5">
        <item x="0"/>
        <item x="1"/>
        <item x="2"/>
        <item x="3"/>
        <item t="default"/>
      </items>
    </pivotField>
    <pivotField dataField="1"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Sum of avg_marks" fld="6"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48077EA-6327-4BF6-8C6E-6DC52B82C84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7:L28" firstHeaderRow="1" firstDataRow="1" firstDataCol="1"/>
  <pivotFields count="9">
    <pivotField showAll="0"/>
    <pivotField axis="axisRow" showAll="0">
      <items count="21">
        <item x="9"/>
        <item x="17"/>
        <item x="4"/>
        <item x="3"/>
        <item x="5"/>
        <item x="6"/>
        <item x="19"/>
        <item x="8"/>
        <item x="1"/>
        <item x="11"/>
        <item x="14"/>
        <item x="13"/>
        <item x="15"/>
        <item x="18"/>
        <item x="10"/>
        <item x="12"/>
        <item x="0"/>
        <item x="2"/>
        <item x="16"/>
        <item x="7"/>
        <item t="default"/>
      </items>
    </pivotField>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items count="5">
        <item x="0"/>
        <item x="1"/>
        <item x="2"/>
        <item x="3"/>
        <item t="default"/>
      </items>
    </pivotField>
    <pivotField showAll="0">
      <items count="5">
        <item x="2"/>
        <item x="1"/>
        <item x="0"/>
        <item x="3"/>
        <item t="default"/>
      </items>
    </pivotField>
    <pivotField dataField="1"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Avg_marks" fld="7"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D8A207C-D08B-4482-B7F4-C581FBBDA37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2:O7" firstHeaderRow="1" firstDataRow="1" firstDataCol="1"/>
  <pivotFields count="9">
    <pivotField showAll="0">
      <items count="21">
        <item x="8"/>
        <item x="0"/>
        <item x="16"/>
        <item x="12"/>
        <item x="13"/>
        <item x="19"/>
        <item x="11"/>
        <item x="18"/>
        <item x="6"/>
        <item x="15"/>
        <item x="1"/>
        <item x="10"/>
        <item x="5"/>
        <item x="14"/>
        <item x="3"/>
        <item x="7"/>
        <item x="17"/>
        <item x="2"/>
        <item x="4"/>
        <item x="9"/>
        <item t="default"/>
      </items>
    </pivotField>
    <pivotField showAll="0">
      <items count="21">
        <item x="9"/>
        <item x="17"/>
        <item x="4"/>
        <item x="3"/>
        <item x="5"/>
        <item x="6"/>
        <item x="19"/>
        <item x="8"/>
        <item x="1"/>
        <item x="11"/>
        <item x="14"/>
        <item x="13"/>
        <item x="15"/>
        <item x="18"/>
        <item x="10"/>
        <item x="12"/>
        <item x="0"/>
        <item x="2"/>
        <item x="16"/>
        <item x="7"/>
        <item t="default"/>
      </items>
    </pivotField>
    <pivotField showAll="0"/>
    <pivotField showAll="0"/>
    <pivotField showAll="0">
      <items count="20">
        <item x="0"/>
        <item x="1"/>
        <item x="2"/>
        <item x="3"/>
        <item x="4"/>
        <item x="5"/>
        <item x="6"/>
        <item x="7"/>
        <item x="8"/>
        <item x="9"/>
        <item x="10"/>
        <item x="11"/>
        <item x="12"/>
        <item x="13"/>
        <item x="14"/>
        <item x="15"/>
        <item x="16"/>
        <item x="17"/>
        <item x="18"/>
        <item t="default"/>
      </items>
    </pivotField>
    <pivotField axis="axisRow" showAll="0">
      <items count="5">
        <item x="0"/>
        <item x="1"/>
        <item x="2"/>
        <item x="3"/>
        <item t="default"/>
      </items>
    </pivotField>
    <pivotField dataField="1" showAll="0">
      <items count="5">
        <item x="2"/>
        <item x="1"/>
        <item x="0"/>
        <item x="3"/>
        <item t="default"/>
      </items>
    </pivotField>
    <pivotField showAll="0"/>
    <pivotField showAll="0"/>
  </pivotFields>
  <rowFields count="1">
    <field x="5"/>
  </rowFields>
  <rowItems count="5">
    <i>
      <x/>
    </i>
    <i>
      <x v="1"/>
    </i>
    <i>
      <x v="2"/>
    </i>
    <i>
      <x v="3"/>
    </i>
    <i t="grand">
      <x/>
    </i>
  </rowItems>
  <colItems count="1">
    <i/>
  </colItems>
  <dataFields count="1">
    <dataField name="Sum of Top_student_score" fld="6"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6A03A96-F55A-4114-BE0C-5CF21DF3C2A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5:B30" firstHeaderRow="1" firstDataRow="1" firstDataCol="1"/>
  <pivotFields count="9">
    <pivotField showAll="0"/>
    <pivotField showAll="0">
      <items count="21">
        <item x="9"/>
        <item x="17"/>
        <item x="4"/>
        <item x="3"/>
        <item x="5"/>
        <item x="6"/>
        <item x="19"/>
        <item x="8"/>
        <item x="1"/>
        <item x="11"/>
        <item x="14"/>
        <item x="13"/>
        <item x="15"/>
        <item x="18"/>
        <item x="10"/>
        <item x="12"/>
        <item x="0"/>
        <item x="2"/>
        <item x="16"/>
        <item x="7"/>
        <item t="default"/>
      </items>
    </pivotField>
    <pivotField showAll="0"/>
    <pivotField showAll="0"/>
    <pivotField showAll="0">
      <items count="20">
        <item x="0"/>
        <item x="1"/>
        <item x="2"/>
        <item x="3"/>
        <item x="4"/>
        <item x="5"/>
        <item x="6"/>
        <item x="7"/>
        <item x="8"/>
        <item x="9"/>
        <item x="10"/>
        <item x="11"/>
        <item x="12"/>
        <item x="13"/>
        <item x="14"/>
        <item x="15"/>
        <item x="16"/>
        <item x="17"/>
        <item x="18"/>
        <item t="default"/>
      </items>
    </pivotField>
    <pivotField axis="axisRow" showAll="0">
      <items count="5">
        <item x="0"/>
        <item x="1"/>
        <item x="2"/>
        <item x="3"/>
        <item t="default"/>
      </items>
    </pivotField>
    <pivotField showAll="0">
      <items count="5">
        <item x="2"/>
        <item x="1"/>
        <item x="0"/>
        <item x="3"/>
        <item t="default"/>
      </items>
    </pivotField>
    <pivotField showAll="0"/>
    <pivotField dataField="1" showAll="0"/>
  </pivotFields>
  <rowFields count="1">
    <field x="5"/>
  </rowFields>
  <rowItems count="5">
    <i>
      <x/>
    </i>
    <i>
      <x v="1"/>
    </i>
    <i>
      <x v="2"/>
    </i>
    <i>
      <x v="3"/>
    </i>
    <i t="grand">
      <x/>
    </i>
  </rowItems>
  <colItems count="1">
    <i/>
  </colItems>
  <dataFields count="1">
    <dataField name="Sum of contribution_percentage" fld="8"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98C85D2-1F4B-45F3-A306-B5D4DA819B0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2:G43" firstHeaderRow="0" firstDataRow="1" firstDataCol="1"/>
  <pivotFields count="9">
    <pivotField axis="axisRow" showAll="0">
      <items count="21">
        <item x="8"/>
        <item x="0"/>
        <item x="16"/>
        <item x="12"/>
        <item x="13"/>
        <item x="19"/>
        <item x="11"/>
        <item x="18"/>
        <item x="6"/>
        <item x="15"/>
        <item x="1"/>
        <item x="10"/>
        <item x="5"/>
        <item x="14"/>
        <item x="3"/>
        <item x="7"/>
        <item x="17"/>
        <item x="2"/>
        <item x="4"/>
        <item x="9"/>
        <item t="default"/>
      </items>
    </pivotField>
    <pivotField showAll="0">
      <items count="21">
        <item x="9"/>
        <item x="17"/>
        <item x="4"/>
        <item x="3"/>
        <item x="5"/>
        <item x="6"/>
        <item x="19"/>
        <item x="8"/>
        <item x="1"/>
        <item x="11"/>
        <item x="14"/>
        <item x="13"/>
        <item x="15"/>
        <item x="18"/>
        <item x="10"/>
        <item x="12"/>
        <item x="0"/>
        <item x="2"/>
        <item x="16"/>
        <item x="7"/>
        <item t="default"/>
      </items>
    </pivotField>
    <pivotField dataField="1" showAll="0"/>
    <pivotField showAll="0"/>
    <pivotField dataField="1" showAll="0">
      <items count="20">
        <item x="0"/>
        <item x="1"/>
        <item x="2"/>
        <item x="3"/>
        <item x="4"/>
        <item x="5"/>
        <item x="6"/>
        <item x="7"/>
        <item x="8"/>
        <item x="9"/>
        <item x="10"/>
        <item x="11"/>
        <item x="12"/>
        <item x="13"/>
        <item x="14"/>
        <item x="15"/>
        <item x="16"/>
        <item x="17"/>
        <item x="18"/>
        <item t="default"/>
      </items>
    </pivotField>
    <pivotField showAll="0">
      <items count="5">
        <item x="0"/>
        <item x="1"/>
        <item x="2"/>
        <item x="3"/>
        <item t="default"/>
      </items>
    </pivotField>
    <pivotField showAll="0">
      <items count="5">
        <item x="2"/>
        <item x="1"/>
        <item x="0"/>
        <item x="3"/>
        <item t="default"/>
      </items>
    </pivotField>
    <pivotField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marks" fld="2" baseField="0" baseItem="0"/>
    <dataField name="Sum of rank" fld="4"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2F83485-DC3F-4D1D-ABAB-AD1D72477721}" name="PivotTable1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7:V8" firstHeaderRow="1" firstDataRow="1" firstDataCol="0"/>
  <pivotFields count="14">
    <pivotField showAll="0" sortType="ascending">
      <items count="6">
        <item x="2"/>
        <item x="1"/>
        <item x="3"/>
        <item x="0"/>
        <item x="4"/>
        <item t="default"/>
      </items>
      <autoSortScope>
        <pivotArea dataOnly="0" outline="0" fieldPosition="0">
          <references count="1">
            <reference field="4294967294" count="1" selected="0">
              <x v="0"/>
            </reference>
          </references>
        </pivotArea>
      </autoSortScope>
    </pivotField>
    <pivotField showAll="0"/>
    <pivotField showAll="0">
      <items count="7">
        <item x="4"/>
        <item x="3"/>
        <item x="1"/>
        <item x="2"/>
        <item x="0"/>
        <item h="1" x="5"/>
        <item t="default"/>
      </items>
    </pivotField>
    <pivotField showAll="0"/>
    <pivotField showAll="0"/>
    <pivotField numFmtId="14" showAll="0"/>
    <pivotField dataField="1" showAll="0"/>
    <pivotField showAll="0"/>
    <pivotField showAll="0"/>
    <pivotField numFmtId="14" showAll="0"/>
    <pivotField showAll="0"/>
    <pivotField numFmtId="14" showAll="0"/>
    <pivotField showAll="0"/>
    <pivotField showAll="0"/>
  </pivotFields>
  <rowItems count="1">
    <i/>
  </rowItems>
  <colItems count="1">
    <i/>
  </colItems>
  <dataFields count="1">
    <dataField name="Average of Salary" fld="6" subtotal="average" baseField="0" baseItem="0"/>
  </dataFields>
  <formats count="3">
    <format dxfId="18">
      <pivotArea type="all" dataOnly="0" outline="0" fieldPosition="0"/>
    </format>
    <format dxfId="19">
      <pivotArea outline="0" collapsedLevelsAreSubtotals="1" fieldPosition="0"/>
    </format>
    <format dxfId="20">
      <pivotArea dataOnly="0" labelOnly="1" outline="0" axis="axisValues"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375E2B8-C2BB-47B0-98A5-D71521952318}" name="PivotTable1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7:S8" firstHeaderRow="1" firstDataRow="1" firstDataCol="0"/>
  <pivotFields count="14">
    <pivotField showAll="0" sortType="ascending">
      <items count="6">
        <item x="2"/>
        <item h="1" x="1"/>
        <item h="1" x="3"/>
        <item h="1" x="0"/>
        <item h="1" x="4"/>
        <item t="default"/>
      </items>
      <autoSortScope>
        <pivotArea dataOnly="0" outline="0" fieldPosition="0">
          <references count="1">
            <reference field="4294967294" count="1" selected="0">
              <x v="0"/>
            </reference>
          </references>
        </pivotArea>
      </autoSortScope>
    </pivotField>
    <pivotField showAll="0"/>
    <pivotField showAll="0">
      <items count="7">
        <item x="4"/>
        <item x="3"/>
        <item x="1"/>
        <item x="2"/>
        <item x="0"/>
        <item h="1" x="5"/>
        <item t="default"/>
      </items>
    </pivotField>
    <pivotField showAll="0"/>
    <pivotField showAll="0"/>
    <pivotField numFmtId="14" showAll="0"/>
    <pivotField dataField="1" showAll="0"/>
    <pivotField showAll="0"/>
    <pivotField showAll="0"/>
    <pivotField numFmtId="14" showAll="0"/>
    <pivotField showAll="0"/>
    <pivotField numFmtId="14" showAll="0"/>
    <pivotField showAll="0"/>
    <pivotField showAll="0"/>
  </pivotFields>
  <rowItems count="1">
    <i/>
  </rowItems>
  <colItems count="1">
    <i/>
  </colItems>
  <dataFields count="1">
    <dataField name="Min of Salary" fld="6" subtotal="min" baseField="0" baseItem="1"/>
  </dataFields>
  <formats count="3">
    <format dxfId="15">
      <pivotArea type="all" dataOnly="0" outline="0" fieldPosition="0"/>
    </format>
    <format dxfId="16">
      <pivotArea outline="0" collapsedLevelsAreSubtotals="1" fieldPosition="0"/>
    </format>
    <format dxfId="17">
      <pivotArea dataOnly="0" labelOnly="1" outline="0" axis="axisValues" fieldPosition="0"/>
    </format>
  </formats>
  <pivotTableStyleInfo name="PivotStyleDark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503D191-931A-4B45-AF9D-72A45B5C1375}"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20:R21" firstHeaderRow="1" firstDataRow="1" firstDataCol="0"/>
  <pivotFields count="14">
    <pivotField showAll="0" sortType="descending">
      <items count="6">
        <item h="1" x="2"/>
        <item h="1" x="1"/>
        <item h="1" x="3"/>
        <item h="1" x="0"/>
        <item x="4"/>
        <item t="default"/>
      </items>
      <autoSortScope>
        <pivotArea dataOnly="0" outline="0" fieldPosition="0">
          <references count="1">
            <reference field="4294967294" count="1" selected="0">
              <x v="0"/>
            </reference>
          </references>
        </pivotArea>
      </autoSortScope>
    </pivotField>
    <pivotField showAll="0"/>
    <pivotField showAll="0">
      <items count="7">
        <item x="4"/>
        <item x="3"/>
        <item x="1"/>
        <item x="2"/>
        <item x="0"/>
        <item h="1" x="5"/>
        <item t="default"/>
      </items>
    </pivotField>
    <pivotField showAll="0"/>
    <pivotField showAll="0"/>
    <pivotField numFmtId="14" showAll="0"/>
    <pivotField dataField="1" showAll="0"/>
    <pivotField showAll="0"/>
    <pivotField showAll="0"/>
    <pivotField numFmtId="14" showAll="0"/>
    <pivotField showAll="0"/>
    <pivotField numFmtId="14" showAll="0"/>
    <pivotField showAll="0"/>
    <pivotField showAll="0"/>
  </pivotFields>
  <rowItems count="1">
    <i/>
  </rowItems>
  <colItems count="1">
    <i/>
  </colItems>
  <dataFields count="1">
    <dataField name="Max of Salary" fld="6" subtotal="max" baseField="0" baseItem="0"/>
  </dataFields>
  <formats count="3">
    <format dxfId="12">
      <pivotArea type="all" dataOnly="0" outline="0" fieldPosition="0"/>
    </format>
    <format dxfId="13">
      <pivotArea outline="0" collapsedLevelsAreSubtotals="1" fieldPosition="0"/>
    </format>
    <format dxfId="14">
      <pivotArea dataOnly="0" labelOnly="1" outline="0" axis="axisValues" fieldPosition="0"/>
    </format>
  </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632392D-14B2-4218-92D4-F142DBB93657}"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P4" firstHeaderRow="1" firstDataRow="1" firstDataCol="0"/>
  <pivotFields count="14">
    <pivotField dataField="1" showAll="0"/>
    <pivotField showAll="0"/>
    <pivotField showAll="0">
      <items count="7">
        <item x="4"/>
        <item x="3"/>
        <item x="1"/>
        <item x="2"/>
        <item x="0"/>
        <item h="1" x="5"/>
        <item t="default"/>
      </items>
    </pivotField>
    <pivotField showAll="0"/>
    <pivotField showAll="0"/>
    <pivotField numFmtId="14" showAll="0"/>
    <pivotField showAll="0"/>
    <pivotField showAll="0"/>
    <pivotField showAll="0"/>
    <pivotField numFmtId="14" showAll="0"/>
    <pivotField showAll="0"/>
    <pivotField numFmtId="14" showAll="0"/>
    <pivotField showAll="0"/>
    <pivotField showAll="0"/>
  </pivotFields>
  <rowItems count="1">
    <i/>
  </rowItems>
  <colItems count="1">
    <i/>
  </colItems>
  <dataFields count="1">
    <dataField name="Count of emp_name" fld="0" subtotal="count" baseField="0" baseItem="0"/>
  </dataFields>
  <formats count="6">
    <format dxfId="6">
      <pivotArea type="all" dataOnly="0" outline="0" fieldPosition="0"/>
    </format>
    <format dxfId="7">
      <pivotArea outline="0" collapsedLevelsAreSubtotals="1" fieldPosition="0"/>
    </format>
    <format dxfId="8">
      <pivotArea dataOnly="0" labelOnly="1" outline="0" axis="axisValues" fieldPosition="0"/>
    </format>
    <format dxfId="9">
      <pivotArea type="all" dataOnly="0" outline="0" fieldPosition="0"/>
    </format>
    <format dxfId="10">
      <pivotArea outline="0" collapsedLevelsAreSubtotals="1"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9E6C2A9-446C-44B7-B22F-CF16C475F21D}"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8:Q14" firstHeaderRow="1" firstDataRow="1" firstDataCol="1"/>
  <pivotFields count="14">
    <pivotField dataField="1" showAll="0"/>
    <pivotField showAll="0"/>
    <pivotField axis="axisRow" showAll="0">
      <items count="7">
        <item x="4"/>
        <item x="3"/>
        <item x="1"/>
        <item x="2"/>
        <item x="0"/>
        <item h="1" x="5"/>
        <item t="default"/>
      </items>
    </pivotField>
    <pivotField showAll="0"/>
    <pivotField showAll="0"/>
    <pivotField numFmtId="14" showAll="0"/>
    <pivotField showAll="0"/>
    <pivotField showAll="0"/>
    <pivotField showAll="0"/>
    <pivotField numFmtId="14" showAll="0"/>
    <pivotField showAll="0"/>
    <pivotField numFmtId="14" showAll="0"/>
    <pivotField showAll="0"/>
    <pivotField showAll="0"/>
  </pivotFields>
  <rowFields count="1">
    <field x="2"/>
  </rowFields>
  <rowItems count="6">
    <i>
      <x/>
    </i>
    <i>
      <x v="1"/>
    </i>
    <i>
      <x v="2"/>
    </i>
    <i>
      <x v="3"/>
    </i>
    <i>
      <x v="4"/>
    </i>
    <i t="grand">
      <x/>
    </i>
  </rowItems>
  <colItems count="1">
    <i/>
  </colItems>
  <dataFields count="1">
    <dataField name="Count of emp_name" fld="0" subtotal="count" baseField="0" baseItem="0"/>
  </dataFields>
  <formats count="6">
    <format dxfId="0">
      <pivotArea type="all" dataOnly="0" outline="0" fieldPosition="0"/>
    </format>
    <format dxfId="1">
      <pivotArea outline="0" collapsedLevelsAreSubtotals="1" fieldPosition="0"/>
    </format>
    <format dxfId="2">
      <pivotArea field="2" type="button" dataOnly="0" labelOnly="1" outline="0" axis="axisRow" fieldPosition="0"/>
    </format>
    <format dxfId="3">
      <pivotArea dataOnly="0" labelOnly="1" fieldPosition="0">
        <references count="1">
          <reference field="2" count="0"/>
        </references>
      </pivotArea>
    </format>
    <format dxfId="4">
      <pivotArea dataOnly="0" labelOnly="1" grandRow="1" outline="0" fieldPosition="0"/>
    </format>
    <format dxfId="5">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 chart="3" format="11">
      <pivotArea type="data" outline="0" fieldPosition="0">
        <references count="2">
          <reference field="4294967294" count="1" selected="0">
            <x v="0"/>
          </reference>
          <reference field="2" count="1" selected="0">
            <x v="4"/>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38248EA2-38CC-4B36-AE4F-E62073CC9675}" sourceName="Name">
  <pivotTables>
    <pivotTable tabId="12" name="PivotTable1"/>
  </pivotTables>
  <data>
    <tabular pivotCacheId="1874123265">
      <items count="10">
        <i x="0" s="1"/>
        <i x="6" s="1"/>
        <i x="8" s="1"/>
        <i x="3" s="1"/>
        <i x="9" s="1"/>
        <i x="4" s="1"/>
        <i x="2" s="1"/>
        <i x="1" s="1"/>
        <i x="5"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B92B99D-7542-487A-BCA4-E8AEED50F1F7}" sourceName="Month">
  <pivotTables>
    <pivotTable tabId="12" name="PivotTable3"/>
  </pivotTables>
  <data>
    <tabular pivotCacheId="1874123265">
      <items count="10">
        <i x="0" s="1"/>
        <i x="1" s="1"/>
        <i x="2"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0535E5B8-1822-4730-B023-83D0DDEAF93F}" sourceName="Day">
  <pivotTables>
    <pivotTable tabId="12" name="PivotTable5"/>
  </pivotTables>
  <data>
    <tabular pivotCacheId="1874123265">
      <items count="7">
        <i x="1" s="1"/>
        <i x="2" s="1"/>
        <i x="3" s="1"/>
        <i x="4" s="1"/>
        <i x="5" s="1"/>
        <i x="6"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xn_type" xr10:uid="{4733E884-423D-4B53-A8B2-50F86344FF2A}" sourceName="txn_type">
  <data>
    <tabular pivotCacheId="552795191">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xn_date" xr10:uid="{BAE09ED1-79EC-443D-821B-CA460D096C16}" sourceName="txn_date">
  <data>
    <tabular pivotCacheId="552795191">
      <items count="20">
        <i x="0" s="1"/>
        <i x="1" s="1"/>
        <i x="2" s="1"/>
        <i x="3" s="1"/>
        <i x="4" s="1"/>
        <i x="5" s="1"/>
        <i x="6" s="1"/>
        <i x="7" s="1"/>
        <i x="8" s="1"/>
        <i x="9" s="1"/>
        <i x="10" s="1"/>
        <i x="11" s="1"/>
        <i x="12" s="1"/>
        <i x="13" s="1"/>
        <i x="14" s="1"/>
        <i x="15" s="1"/>
        <i x="16" s="1"/>
        <i x="17" s="1"/>
        <i x="18" s="1"/>
        <i x="1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xn_id" xr10:uid="{B057ACA0-432B-4D18-85F9-810E1307BCFA}" sourceName="txn_id">
  <data>
    <tabular pivotCacheId="552795191">
      <items count="20">
        <i x="9" s="1"/>
        <i x="14" s="1"/>
        <i x="6" s="1"/>
        <i x="16" s="1"/>
        <i x="2" s="1"/>
        <i x="18" s="1"/>
        <i x="0" s="1"/>
        <i x="15" s="1"/>
        <i x="4" s="1"/>
        <i x="12" s="1"/>
        <i x="8" s="1"/>
        <i x="19" s="1"/>
        <i x="3" s="1"/>
        <i x="13" s="1"/>
        <i x="1" s="1"/>
        <i x="17" s="1"/>
        <i x="5" s="1"/>
        <i x="11" s="1"/>
        <i x="7" s="1"/>
        <i x="1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3A87C664-472D-477B-83CD-733711F29D80}" sourceName="Department">
  <data>
    <tabular pivotCacheId="645704760">
      <items count="7">
        <i x="3" s="1"/>
        <i x="2" s="1"/>
        <i x="6" s="1"/>
        <i x="5" s="1"/>
        <i x="0" s="1"/>
        <i x="1" s="1"/>
        <i x="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employee" xr10:uid="{A5969F89-FBF7-4321-97B3-9310AAD7B4A0}" sourceName="Total_employee">
  <data>
    <tabular pivotCacheId="319719561">
      <items count="3">
        <i x="0" s="1"/>
        <i x="1"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10_performence" xr10:uid="{7D54703C-85D2-4220-8AFE-6B803A4C2AAC}" sourceName="Top_10_performence">
  <data>
    <tabular pivotCacheId="89163182">
      <items count="3">
        <i x="0" s="1"/>
        <i x="1"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hire_date" xr10:uid="{D9B9573F-3ABE-421E-87F8-F4C419AABB9C}" sourceName="Months (hire_date)">
  <data>
    <tabular pivotCacheId="2123617759">
      <items count="14">
        <i x="1" s="1"/>
        <i x="2" s="1"/>
        <i x="3" s="1"/>
        <i x="4" s="1"/>
        <i x="5" s="1"/>
        <i x="6" s="1"/>
        <i x="7" s="1"/>
        <i x="8" s="1"/>
        <i x="9" s="1"/>
        <i x="10" s="1"/>
        <i x="11" s="1"/>
        <i x="12" s="1"/>
        <i x="0" s="1"/>
        <i x="13"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1" xr10:uid="{5EC4F105-B39B-4277-9187-6713FD9AB12E}" sourceName="Product_name">
  <data>
    <tabular pivotCacheId="1443299965">
      <items count="20">
        <i x="18" s="1"/>
        <i x="4" s="1"/>
        <i x="10" s="1"/>
        <i x="7" s="1"/>
        <i x="13" s="1"/>
        <i x="6" s="1"/>
        <i x="12" s="1"/>
        <i x="2" s="1"/>
        <i x="14" s="1"/>
        <i x="1" s="1"/>
        <i x="11" s="1"/>
        <i x="5" s="1"/>
        <i x="15" s="1"/>
        <i x="19" s="1"/>
        <i x="8" s="1"/>
        <i x="9" s="1"/>
        <i x="17" s="1"/>
        <i x="0" s="1"/>
        <i x="16" s="1"/>
        <i x="3"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BBE67DA5-1201-4016-87F1-E870AEC66310}" sourceName="Month">
  <data>
    <tabular pivotCacheId="1691491903">
      <items count="7">
        <i x="6" s="1"/>
        <i x="0" s="1"/>
        <i x="1" s="1"/>
        <i x="2" s="1"/>
        <i x="3" s="1"/>
        <i x="4" s="1"/>
        <i x="5"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6FDDC48-BABD-4233-AE68-84D294ED5239}" sourceName="Region">
  <data>
    <tabular pivotCacheId="1500617919">
      <items count="5">
        <i x="1" s="1"/>
        <i x="3" s="1"/>
        <i x="0" s="1"/>
        <i x="4" s="1"/>
        <i x="2"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_name" xr10:uid="{A2063E99-BBA3-4497-AB83-612B884DBEB3}" sourceName="subject_name">
  <pivotTables>
    <pivotTable tabId="34" name="PivotTable6"/>
    <pivotTable tabId="34" name="PivotTable3"/>
    <pivotTable tabId="34" name="PivotTable4"/>
    <pivotTable tabId="34" name="PivotTable7"/>
  </pivotTables>
  <data>
    <tabular pivotCacheId="656412703">
      <items count="20">
        <i x="9" s="1"/>
        <i x="17" s="1"/>
        <i x="4" s="1"/>
        <i x="3" s="1"/>
        <i x="5" s="1"/>
        <i x="6" s="1"/>
        <i x="19" s="1"/>
        <i x="8" s="1"/>
        <i x="1" s="1"/>
        <i x="11" s="1"/>
        <i x="14" s="1"/>
        <i x="13" s="1"/>
        <i x="15" s="1"/>
        <i x="18" s="1"/>
        <i x="10" s="1"/>
        <i x="12" s="1"/>
        <i x="0" s="1"/>
        <i x="2" s="1"/>
        <i x="16" s="1"/>
        <i x="7"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k" xr10:uid="{1812D4E6-4660-4235-906D-05A0D663A69E}" sourceName="rank">
  <pivotTables>
    <pivotTable tabId="34" name="PivotTable6"/>
    <pivotTable tabId="34" name="PivotTable3"/>
    <pivotTable tabId="34" name="PivotTable4"/>
    <pivotTable tabId="34" name="PivotTable7"/>
  </pivotTables>
  <data>
    <tabular pivotCacheId="656412703">
      <items count="19">
        <i x="0" s="1"/>
        <i x="1" s="1"/>
        <i x="2" s="1"/>
        <i x="3" s="1"/>
        <i x="4" s="1"/>
        <i x="5" s="1"/>
        <i x="6" s="1"/>
        <i x="7" s="1"/>
        <i x="8" s="1"/>
        <i x="9" s="1"/>
        <i x="10" s="1"/>
        <i x="11" s="1"/>
        <i x="12" s="1"/>
        <i x="13" s="1"/>
        <i x="14" s="1"/>
        <i x="15" s="1"/>
        <i x="16" s="1"/>
        <i x="17" s="1"/>
        <i x="18"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student" xr10:uid="{81B77B1B-D9CA-4A33-9F79-D4281D63FCE1}" sourceName="Top_student">
  <pivotTables>
    <pivotTable tabId="34" name="PivotTable6"/>
    <pivotTable tabId="34" name="PivotTable3"/>
    <pivotTable tabId="34" name="PivotTable4"/>
    <pivotTable tabId="34" name="PivotTable7"/>
  </pivotTables>
  <data>
    <tabular pivotCacheId="656412703">
      <items count="4">
        <i x="0" s="1"/>
        <i x="1" s="1"/>
        <i x="2" s="1"/>
        <i x="3"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student_score" xr10:uid="{63790970-5A82-4162-B40B-119F29062FAA}" sourceName="Top_student_score">
  <pivotTables>
    <pivotTable tabId="34" name="PivotTable6"/>
    <pivotTable tabId="34" name="PivotTable3"/>
    <pivotTable tabId="34" name="PivotTable4"/>
    <pivotTable tabId="34" name="PivotTable7"/>
  </pivotTables>
  <data>
    <tabular pivotCacheId="656412703">
      <items count="4">
        <i x="2" s="1"/>
        <i x="1" s="1"/>
        <i x="0" s="1"/>
        <i x="3"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2" xr10:uid="{1E553F1C-F1AF-4A95-A322-AE9A232AA377}" sourceName="Customer_name">
  <pivotTables>
    <pivotTable tabId="42" name="PivotTable6"/>
  </pivotTables>
  <data>
    <tabular pivotCacheId="902138746">
      <items count="18">
        <i x="17" s="1"/>
        <i x="12" s="1"/>
        <i x="10" s="1"/>
        <i x="16" s="1"/>
        <i x="15" s="1"/>
        <i x="7" s="1"/>
        <i x="2" s="1"/>
        <i x="13" s="1"/>
        <i x="1" s="1"/>
        <i x="14" s="1"/>
        <i x="3" s="1"/>
        <i x="8" s="1"/>
        <i x="0" s="1"/>
        <i x="6" s="1"/>
        <i x="11" s="1"/>
        <i x="9" s="1"/>
        <i x="4" s="1"/>
        <i x="5"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95550C39-3902-4E60-8D26-F6F31D369DAD}" sourceName="country">
  <pivotTables>
    <pivotTable tabId="42" name="PivotTable6"/>
  </pivotTables>
  <data>
    <tabular pivotCacheId="902138746">
      <items count="5">
        <i x="0" s="1"/>
        <i x="4" s="1"/>
        <i x="1" s="1"/>
        <i x="3" s="1"/>
        <i x="2"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2" xr10:uid="{5626F9AA-CB24-4FA1-88D7-3B041A9525FF}" sourceName="product_name,">
  <pivotTables>
    <pivotTable tabId="42" name="PivotTable6"/>
  </pivotTables>
  <data>
    <tabular pivotCacheId="902138746">
      <items count="10">
        <i x="8" s="1"/>
        <i x="3" s="1"/>
        <i x="9" s="1"/>
        <i x="1" s="1"/>
        <i x="0" s="1"/>
        <i x="5" s="1"/>
        <i x="4" s="1"/>
        <i x="2" s="1"/>
        <i x="7" s="1"/>
        <i x="6"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D0DBBF0A-04D7-4D60-9B7C-2B35AB004642}" sourceName="Months (order_date)">
  <pivotTables>
    <pivotTable tabId="42" name="PivotTable6"/>
  </pivotTables>
  <data>
    <tabular pivotCacheId="902138746">
      <items count="14">
        <i x="1" s="1"/>
        <i x="2" s="1"/>
        <i x="3" s="1"/>
        <i x="4" s="1"/>
        <i x="5" s="1" nd="1"/>
        <i x="6" s="1" nd="1"/>
        <i x="7" s="1" nd="1"/>
        <i x="8" s="1" nd="1"/>
        <i x="9" s="1" nd="1"/>
        <i x="10" s="1" nd="1"/>
        <i x="11" s="1" nd="1"/>
        <i x="12" s="1" nd="1"/>
        <i x="0" s="1" nd="1"/>
        <i x="13" s="1" nd="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_name2" xr10:uid="{8EEB862C-8E03-47C8-8363-45A709AC8380}" sourceName="subject_name2">
  <pivotTables>
    <pivotTable tabId="37" name="PivotTable1"/>
  </pivotTables>
  <data>
    <tabular pivotCacheId="483107744">
      <items count="4">
        <i x="0" s="1"/>
        <i x="1" s="1"/>
        <i x="2" s="1"/>
        <i x="3" s="1" nd="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rank" xr10:uid="{E56E68B7-6B8D-4E37-B358-7D602227B00C}" sourceName="student_rank">
  <pivotTables>
    <pivotTable tabId="37" name="PivotTable5"/>
  </pivotTables>
  <data>
    <tabular pivotCacheId="483107744">
      <items count="15">
        <i x="0" s="1"/>
        <i x="1" s="1"/>
        <i x="2" s="1"/>
        <i x="3" s="1"/>
        <i x="4" s="1"/>
        <i x="5" s="1"/>
        <i x="6" s="1"/>
        <i x="7" s="1"/>
        <i x="8" s="1"/>
        <i x="9" s="1"/>
        <i x="10" s="1"/>
        <i x="11" s="1"/>
        <i x="12" s="1"/>
        <i x="13" s="1"/>
        <i x="14" s="1" nd="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21" xr10:uid="{CF1BBD79-F847-431E-9B8F-4E0CD09EF2EB}" sourceName="name2">
  <pivotTables>
    <pivotTable tabId="37" name="PivotTable3"/>
  </pivotTables>
  <data>
    <tabular pivotCacheId="483107744">
      <items count="4">
        <i x="2" s="1"/>
        <i x="0"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ED09F87E-B2C5-43B1-AB79-18AEF9DE30BF}" cache="Slicer_Name" caption="Name" columnCount="2" style="SlicerStyleDark1" rowHeight="241300"/>
  <slicer name="Month" xr10:uid="{DB58F689-2474-4298-B975-FB211E13B908}" cache="Slicer_Month" caption="Month" columnCount="3" style="SlicerStyleLight4" rowHeight="241300"/>
  <slicer name="Day" xr10:uid="{435456FE-EA8F-4A47-B24F-5CB1AB21CB89}" cache="Slicer_Day" caption="Day" columnCount="2" style="SlicerStyleOther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2" xr10:uid="{0E64ACE2-5A68-4B81-BB3D-4E31040E4011}" cache="Slicer_Customer_name2" caption="Customer_name" style="Slicer Style 3" rowHeight="241300"/>
  <slicer name="country 2" xr10:uid="{BD1BA9F0-2727-4B72-B629-76290E066508}" cache="Slicer_country2" caption="country" style="Slicer Style 3" rowHeight="241300"/>
  <slicer name="product_name," xr10:uid="{5B018C15-1D1E-412B-928B-ED4A16F4FA85}" cache="Slicer_product_name2" caption="product_name," style="Slicer Style 3" rowHeight="241300"/>
  <slicer name="Months (order_date)" xr10:uid="{0D2E6325-73B2-4AAC-8BDA-C6C2500A8770}" cache="Slicer_Months__order_date" caption="Months (order_date)" style="Slicer Style 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xn_type" xr10:uid="{92F5216B-7608-4876-950F-EA554CB028C0}" cache="Slicer_txn_type" caption="txn_type" style="Slicer Style 3" rowHeight="241300"/>
  <slicer name="txn_date" xr10:uid="{93B8794A-2590-498A-AF23-B7BC6D18A296}" cache="Slicer_txn_date" caption="txn_date" style="Slicer Style 3" rowHeight="241300"/>
  <slicer name="txn_id" xr10:uid="{FC96D278-E6FD-4223-BA2D-4228CB4F2507}" cache="Slicer_txn_id" caption="txn_id" style="Slicer Style 3"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ject_name2" xr10:uid="{A6AE4822-92E8-41F4-A499-EAB1B439CD1A}" cache="Slicer_subject_name2" caption="subject_name2" style="SlicerStyleLight2" rowHeight="241300"/>
  <slicer name="student_rank" xr10:uid="{19588F34-AFCD-4027-8201-45B494384A2F}" cache="Slicer_student_rank" caption="student_rank" style="SlicerStyleLight2" rowHeight="241300"/>
  <slicer name="name2" xr10:uid="{852AB1DF-44BD-408B-A80C-C564DA410B19}" cache="Slicer_name21" caption="name2" style="SlicerStyleLight2"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1" xr10:uid="{9E196287-5DEC-4383-AE96-EFAF6EA14B03}" cache="Slicer_Product_name1" caption="Product_name" style="Slicer Style 6" rowHeight="241300"/>
  <slicer name="Month 1" xr10:uid="{C6DC416D-249D-4BBF-94B0-9DEC3451220E}" cache="Slicer_Month1" caption="Month" style="Slicer Style 6" rowHeight="241300"/>
  <slicer name="Region" xr10:uid="{53890DD0-4035-41D9-A866-0F86237D3FAF}" cache="Slicer_Region" caption="Region" style="Slicer Style 6"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ject_name" xr10:uid="{8F8892FA-A34B-4B1A-AEFA-A289491FDA2C}" cache="Slicer_subject_name" caption="subject_name" style="Slicer Style 3" rowHeight="241300"/>
  <slicer name="rank" xr10:uid="{0F174AFC-EAE8-4737-83B1-EAE76D0D0C89}" cache="Slicer_rank" caption="rank" startItem="16" style="Slicer Style 3" rowHeight="241300"/>
  <slicer name="Top_student" xr10:uid="{6E1D44BB-DF9A-418B-A69B-AC00CB3BDE57}" cache="Slicer_Top_student" caption="Top_student" style="Slicer Style 3" rowHeight="241300"/>
  <slicer name="Top_student_score" xr10:uid="{DFAB0577-60DB-42D9-9935-EE19467A9AB6}" cache="Slicer_Top_student_score" caption="Top_student_score" style="Slicer Style 3"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75B89DD4-0562-4B92-B07B-12A2D38DCE17}" cache="Slicer_Department1" caption="Department" style="Slicer Style 3" rowHeight="241300"/>
  <slicer name="Total_employee" xr10:uid="{DE1D538D-81E5-4533-BF53-C5A1E4BE18BB}" cache="Slicer_Total_employee" caption="Total_employee" style="Slicer Style 3" rowHeight="241300"/>
  <slicer name="Top_10_performence" xr10:uid="{6B051923-55A2-4028-B1B0-E46D84902294}" cache="Slicer_Top_10_performence" caption="Top_10_performence" style="Slicer Style 3" rowHeight="241300"/>
  <slicer name="Months (hire_date)" xr10:uid="{B6DD0998-1B43-4171-9BA0-E75CF335CF56}" cache="Slicer_Months__hire_date" caption="Months (hire_date)" style="Slicer Style 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scribd.com/document/821088659/Data-Analytics-6-Month-Roadmap?utm_source=chatgpt.com" TargetMode="Externa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pivotTable" Target="../pivotTables/pivotTable17.xml"/></Relationships>
</file>

<file path=xl/worksheets/_rels/sheet13.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openxmlformats.org/officeDocument/2006/relationships/pivotTable" Target="../pivotTables/pivotTable22.xml"/><Relationship Id="rId4" Type="http://schemas.openxmlformats.org/officeDocument/2006/relationships/pivotTable" Target="../pivotTables/pivotTable21.xml"/></Relationships>
</file>

<file path=xl/worksheets/_rels/sheet16.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790D8-8E5A-4F61-ABA7-896E2644ECF3}">
  <dimension ref="A1:C7"/>
  <sheetViews>
    <sheetView zoomScale="86" zoomScaleNormal="86" workbookViewId="0">
      <selection activeCell="C3" sqref="C3"/>
    </sheetView>
  </sheetViews>
  <sheetFormatPr defaultRowHeight="15" x14ac:dyDescent="0.25"/>
  <cols>
    <col min="2" max="2" width="10.140625" customWidth="1"/>
    <col min="3" max="3" width="147.5703125" customWidth="1"/>
  </cols>
  <sheetData>
    <row r="1" spans="1:3" x14ac:dyDescent="0.25">
      <c r="A1" s="4" t="s">
        <v>5</v>
      </c>
      <c r="C1" s="5" t="s">
        <v>7</v>
      </c>
    </row>
    <row r="2" spans="1:3" ht="75" x14ac:dyDescent="0.25">
      <c r="A2" s="3" t="s">
        <v>8</v>
      </c>
      <c r="B2" s="8" t="s">
        <v>9</v>
      </c>
      <c r="C2" s="5" t="s">
        <v>6</v>
      </c>
    </row>
    <row r="3" spans="1:3" ht="106.5" customHeight="1" x14ac:dyDescent="0.25">
      <c r="A3" s="3" t="s">
        <v>10</v>
      </c>
      <c r="B3" s="8" t="s">
        <v>11</v>
      </c>
      <c r="C3" s="6" t="s">
        <v>12</v>
      </c>
    </row>
    <row r="4" spans="1:3" ht="96" customHeight="1" x14ac:dyDescent="0.25">
      <c r="A4" s="3" t="s">
        <v>13</v>
      </c>
      <c r="B4" s="8" t="s">
        <v>14</v>
      </c>
      <c r="C4" s="6" t="s">
        <v>15</v>
      </c>
    </row>
    <row r="5" spans="1:3" ht="112.5" customHeight="1" x14ac:dyDescent="0.25">
      <c r="A5" s="3" t="s">
        <v>16</v>
      </c>
      <c r="B5" s="8" t="s">
        <v>17</v>
      </c>
      <c r="C5" s="6" t="s">
        <v>18</v>
      </c>
    </row>
    <row r="6" spans="1:3" ht="84" customHeight="1" x14ac:dyDescent="0.25">
      <c r="A6" s="3" t="s">
        <v>19</v>
      </c>
      <c r="B6" s="8" t="s">
        <v>20</v>
      </c>
      <c r="C6" s="7" t="s">
        <v>21</v>
      </c>
    </row>
    <row r="7" spans="1:3" ht="59.25" customHeight="1" x14ac:dyDescent="0.25">
      <c r="A7" s="3" t="s">
        <v>22</v>
      </c>
      <c r="B7" s="8" t="s">
        <v>23</v>
      </c>
      <c r="C7" s="6" t="s">
        <v>24</v>
      </c>
    </row>
  </sheetData>
  <hyperlinks>
    <hyperlink ref="C6" r:id="rId1" tooltip="Data Analytics 6 Month Roadmap | PDF" display="https://www.scribd.com/document/821088659/Data-Analytics-6-Month-Roadmap?utm_source=chatgpt.com" xr:uid="{8B702C8D-901E-4964-824B-1E7DBF7E982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06A08-6D1B-4A5F-9995-4FFEAFA8C61F}">
  <dimension ref="A1:S17"/>
  <sheetViews>
    <sheetView zoomScale="89" zoomScaleNormal="89" workbookViewId="0">
      <selection activeCell="L22" sqref="L22"/>
    </sheetView>
  </sheetViews>
  <sheetFormatPr defaultRowHeight="15" x14ac:dyDescent="0.25"/>
  <cols>
    <col min="1" max="1" width="17.7109375" bestFit="1" customWidth="1"/>
    <col min="2" max="2" width="48.140625" bestFit="1" customWidth="1"/>
    <col min="3" max="3" width="26.28515625" bestFit="1" customWidth="1"/>
    <col min="11" max="11" width="16.42578125" bestFit="1" customWidth="1"/>
    <col min="12" max="12" width="25.5703125" bestFit="1" customWidth="1"/>
    <col min="13" max="13" width="38" bestFit="1" customWidth="1"/>
    <col min="14" max="14" width="19.140625" bestFit="1" customWidth="1"/>
  </cols>
  <sheetData>
    <row r="1" spans="1:19" x14ac:dyDescent="0.25">
      <c r="A1" s="62" t="s">
        <v>26</v>
      </c>
      <c r="B1" s="62"/>
      <c r="C1" s="62"/>
      <c r="D1" s="62"/>
      <c r="E1" s="62"/>
      <c r="F1" s="62"/>
      <c r="G1" s="62"/>
      <c r="H1" s="62"/>
      <c r="I1" s="62"/>
      <c r="J1" s="62"/>
      <c r="K1" s="62"/>
    </row>
    <row r="2" spans="1:19" x14ac:dyDescent="0.25">
      <c r="A2" s="63" t="s">
        <v>27</v>
      </c>
      <c r="B2" s="63"/>
      <c r="C2" s="63"/>
      <c r="D2" s="64"/>
      <c r="E2" s="64"/>
      <c r="J2" s="60" t="s">
        <v>64</v>
      </c>
      <c r="K2" s="60"/>
      <c r="L2" s="60"/>
      <c r="M2" s="60"/>
      <c r="N2" s="60"/>
      <c r="O2" s="60"/>
      <c r="P2" s="60"/>
      <c r="Q2" s="60"/>
      <c r="R2" s="60"/>
      <c r="S2" s="60"/>
    </row>
    <row r="3" spans="1:19" s="1" customFormat="1" ht="24.75" customHeight="1" x14ac:dyDescent="0.25">
      <c r="A3" s="13" t="s">
        <v>28</v>
      </c>
      <c r="B3" s="13" t="s">
        <v>29</v>
      </c>
      <c r="C3" s="13" t="s">
        <v>30</v>
      </c>
      <c r="D3" s="58" t="s">
        <v>61</v>
      </c>
      <c r="E3" s="58"/>
      <c r="F3" s="58"/>
      <c r="L3" s="11" t="s">
        <v>28</v>
      </c>
      <c r="M3" s="11" t="s">
        <v>65</v>
      </c>
      <c r="N3" s="11" t="s">
        <v>51</v>
      </c>
    </row>
    <row r="4" spans="1:19" ht="22.5" customHeight="1" x14ac:dyDescent="0.25">
      <c r="A4" s="14" t="s">
        <v>31</v>
      </c>
      <c r="B4" s="15" t="s">
        <v>37</v>
      </c>
      <c r="C4" s="16" t="s">
        <v>43</v>
      </c>
      <c r="D4" t="s">
        <v>62</v>
      </c>
      <c r="L4" s="12" t="s">
        <v>66</v>
      </c>
      <c r="M4" s="12" t="s">
        <v>71</v>
      </c>
      <c r="N4" s="12" t="s">
        <v>76</v>
      </c>
    </row>
    <row r="5" spans="1:19" ht="21.75" customHeight="1" x14ac:dyDescent="0.25">
      <c r="A5" s="14" t="s">
        <v>32</v>
      </c>
      <c r="B5" s="15" t="s">
        <v>38</v>
      </c>
      <c r="C5" s="16" t="s">
        <v>44</v>
      </c>
      <c r="D5" s="58" t="s">
        <v>63</v>
      </c>
      <c r="E5" s="58"/>
      <c r="F5" s="58"/>
      <c r="G5" s="58"/>
      <c r="H5" s="58"/>
      <c r="I5" s="58"/>
      <c r="L5" s="12" t="s">
        <v>67</v>
      </c>
      <c r="M5" s="12" t="s">
        <v>72</v>
      </c>
      <c r="N5" s="12" t="s">
        <v>77</v>
      </c>
    </row>
    <row r="6" spans="1:19" ht="23.25" customHeight="1" x14ac:dyDescent="0.25">
      <c r="A6" s="14" t="s">
        <v>33</v>
      </c>
      <c r="B6" s="17" t="s">
        <v>39</v>
      </c>
      <c r="C6" s="16" t="s">
        <v>45</v>
      </c>
      <c r="D6" s="9"/>
      <c r="E6" s="9"/>
      <c r="F6" s="9"/>
      <c r="G6" s="9"/>
      <c r="H6" s="9"/>
      <c r="I6" s="9"/>
      <c r="L6" s="12" t="s">
        <v>68</v>
      </c>
      <c r="M6" s="12" t="s">
        <v>73</v>
      </c>
      <c r="N6" s="12" t="s">
        <v>78</v>
      </c>
    </row>
    <row r="7" spans="1:19" ht="21.75" customHeight="1" x14ac:dyDescent="0.25">
      <c r="A7" s="14" t="s">
        <v>34</v>
      </c>
      <c r="B7" s="18" t="s">
        <v>40</v>
      </c>
      <c r="C7" s="16" t="s">
        <v>46</v>
      </c>
      <c r="D7" s="9"/>
      <c r="E7" s="9"/>
      <c r="F7" s="9"/>
      <c r="G7" s="9"/>
      <c r="H7" s="9"/>
      <c r="I7" s="9"/>
      <c r="L7" s="12" t="s">
        <v>69</v>
      </c>
      <c r="M7" s="12" t="s">
        <v>74</v>
      </c>
      <c r="N7" s="12" t="s">
        <v>79</v>
      </c>
    </row>
    <row r="8" spans="1:19" ht="25.5" customHeight="1" x14ac:dyDescent="0.25">
      <c r="A8" s="14" t="s">
        <v>35</v>
      </c>
      <c r="B8" s="17" t="s">
        <v>41</v>
      </c>
      <c r="C8" s="16" t="s">
        <v>47</v>
      </c>
      <c r="D8" s="9"/>
      <c r="E8" s="9"/>
      <c r="F8" s="9"/>
      <c r="G8" s="9"/>
      <c r="H8" s="9"/>
      <c r="I8" s="9"/>
      <c r="L8" s="12" t="s">
        <v>70</v>
      </c>
      <c r="M8" s="12" t="s">
        <v>75</v>
      </c>
      <c r="N8" s="12" t="s">
        <v>80</v>
      </c>
    </row>
    <row r="9" spans="1:19" ht="27" customHeight="1" x14ac:dyDescent="0.25">
      <c r="A9" s="14" t="s">
        <v>36</v>
      </c>
      <c r="B9" s="17" t="s">
        <v>42</v>
      </c>
      <c r="C9" s="16" t="s">
        <v>48</v>
      </c>
    </row>
    <row r="10" spans="1:19" x14ac:dyDescent="0.25">
      <c r="A10" s="65"/>
      <c r="B10" s="65"/>
      <c r="C10" s="65"/>
      <c r="K10" s="61" t="s">
        <v>81</v>
      </c>
      <c r="L10" s="61"/>
      <c r="M10" s="61"/>
      <c r="N10" s="61"/>
    </row>
    <row r="11" spans="1:19" ht="28.5" customHeight="1" x14ac:dyDescent="0.25">
      <c r="A11" s="58"/>
      <c r="B11" s="58"/>
      <c r="C11" s="58"/>
      <c r="K11" s="61"/>
      <c r="L11" s="61"/>
      <c r="M11" s="61"/>
      <c r="N11" s="61"/>
    </row>
    <row r="12" spans="1:19" ht="19.5" customHeight="1" x14ac:dyDescent="0.25">
      <c r="A12" s="66" t="s">
        <v>49</v>
      </c>
      <c r="B12" s="66"/>
      <c r="C12" s="66"/>
      <c r="D12" s="66"/>
      <c r="E12" s="66"/>
      <c r="F12" s="66"/>
      <c r="G12" s="66"/>
      <c r="K12" s="10" t="s">
        <v>50</v>
      </c>
      <c r="L12" s="10" t="s">
        <v>29</v>
      </c>
      <c r="M12" s="10" t="s">
        <v>51</v>
      </c>
    </row>
    <row r="13" spans="1:19" ht="32.25" customHeight="1" x14ac:dyDescent="0.25">
      <c r="A13" s="66"/>
      <c r="B13" s="66"/>
      <c r="C13" s="66"/>
      <c r="D13" s="66"/>
      <c r="E13" s="66"/>
      <c r="F13" s="66"/>
      <c r="G13" s="66"/>
      <c r="K13" s="10" t="s">
        <v>81</v>
      </c>
      <c r="L13" s="10" t="s">
        <v>82</v>
      </c>
      <c r="M13" s="10" t="s">
        <v>83</v>
      </c>
    </row>
    <row r="14" spans="1:19" ht="30.75" customHeight="1" x14ac:dyDescent="0.25">
      <c r="A14" s="19" t="s">
        <v>50</v>
      </c>
      <c r="B14" s="19" t="s">
        <v>29</v>
      </c>
      <c r="C14" s="20" t="s">
        <v>51</v>
      </c>
      <c r="D14" s="58" t="s">
        <v>61</v>
      </c>
      <c r="E14" s="58"/>
      <c r="F14" s="58"/>
    </row>
    <row r="15" spans="1:19" x14ac:dyDescent="0.25">
      <c r="A15" s="21" t="s">
        <v>52</v>
      </c>
      <c r="B15" s="21" t="s">
        <v>57</v>
      </c>
      <c r="C15" s="21" t="s">
        <v>59</v>
      </c>
      <c r="D15" s="59"/>
      <c r="E15" s="58"/>
      <c r="F15" s="58"/>
      <c r="G15" s="58"/>
      <c r="H15" s="58"/>
      <c r="I15" s="58"/>
      <c r="J15" s="58"/>
    </row>
    <row r="16" spans="1:19" ht="25.5" customHeight="1" x14ac:dyDescent="0.25">
      <c r="A16" s="21" t="s">
        <v>53</v>
      </c>
      <c r="B16" s="21" t="s">
        <v>58</v>
      </c>
      <c r="C16" s="21" t="s">
        <v>60</v>
      </c>
      <c r="D16" s="59"/>
      <c r="E16" s="58"/>
      <c r="F16" s="58"/>
      <c r="G16" s="58"/>
      <c r="H16" s="58"/>
      <c r="I16" s="58"/>
      <c r="J16" s="58"/>
    </row>
    <row r="17" spans="1:3" ht="28.5" customHeight="1" x14ac:dyDescent="0.25">
      <c r="A17" s="21" t="s">
        <v>54</v>
      </c>
      <c r="B17" s="21" t="s">
        <v>55</v>
      </c>
      <c r="C17" s="21" t="s">
        <v>56</v>
      </c>
    </row>
  </sheetData>
  <mergeCells count="10">
    <mergeCell ref="D14:F14"/>
    <mergeCell ref="D15:J16"/>
    <mergeCell ref="J2:S2"/>
    <mergeCell ref="K10:N11"/>
    <mergeCell ref="A1:K1"/>
    <mergeCell ref="A2:E2"/>
    <mergeCell ref="A10:C11"/>
    <mergeCell ref="A12:G13"/>
    <mergeCell ref="D3:F3"/>
    <mergeCell ref="D5:I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22800-3B0F-4C45-A165-32FAA47F41CE}">
  <dimension ref="A4:T18"/>
  <sheetViews>
    <sheetView showGridLines="0" workbookViewId="0">
      <selection activeCell="B17" sqref="B17"/>
    </sheetView>
  </sheetViews>
  <sheetFormatPr defaultRowHeight="15" x14ac:dyDescent="0.25"/>
  <cols>
    <col min="1" max="1" width="19" bestFit="1" customWidth="1"/>
    <col min="2" max="2" width="16.28515625" bestFit="1" customWidth="1"/>
    <col min="3" max="3" width="8.85546875" bestFit="1" customWidth="1"/>
    <col min="4" max="8" width="6.85546875" bestFit="1" customWidth="1"/>
    <col min="9" max="9" width="7.140625" bestFit="1" customWidth="1"/>
    <col min="10" max="10" width="10.85546875" bestFit="1" customWidth="1"/>
    <col min="11" max="11" width="8.42578125" bestFit="1" customWidth="1"/>
    <col min="12" max="12" width="11.140625" bestFit="1" customWidth="1"/>
    <col min="13" max="13" width="19" bestFit="1" customWidth="1"/>
    <col min="14" max="14" width="13.140625" bestFit="1" customWidth="1"/>
    <col min="15" max="16" width="19" bestFit="1" customWidth="1"/>
    <col min="17" max="17" width="16.28515625" bestFit="1" customWidth="1"/>
    <col min="18" max="18" width="13.140625" bestFit="1" customWidth="1"/>
    <col min="19" max="20" width="22.5703125" bestFit="1" customWidth="1"/>
    <col min="21" max="23" width="16.28515625" bestFit="1" customWidth="1"/>
    <col min="24" max="25" width="11.140625" bestFit="1" customWidth="1"/>
  </cols>
  <sheetData>
    <row r="4" spans="1:20" ht="409.5" customHeight="1" x14ac:dyDescent="0.25"/>
    <row r="5" spans="1:20" x14ac:dyDescent="0.25">
      <c r="A5" s="32" t="s">
        <v>117</v>
      </c>
      <c r="B5" s="32" t="s">
        <v>118</v>
      </c>
    </row>
    <row r="6" spans="1:20" x14ac:dyDescent="0.25">
      <c r="A6" s="32" t="s">
        <v>115</v>
      </c>
      <c r="B6" t="s">
        <v>96</v>
      </c>
      <c r="C6" t="s">
        <v>97</v>
      </c>
      <c r="D6" t="s">
        <v>98</v>
      </c>
      <c r="E6" t="s">
        <v>99</v>
      </c>
      <c r="F6" t="s">
        <v>100</v>
      </c>
      <c r="G6" t="s">
        <v>101</v>
      </c>
      <c r="H6" t="s">
        <v>102</v>
      </c>
      <c r="I6" t="s">
        <v>103</v>
      </c>
      <c r="J6" t="s">
        <v>104</v>
      </c>
      <c r="K6" t="s">
        <v>105</v>
      </c>
      <c r="L6" t="s">
        <v>116</v>
      </c>
    </row>
    <row r="7" spans="1:20" x14ac:dyDescent="0.25">
      <c r="A7" s="31" t="s">
        <v>90</v>
      </c>
      <c r="B7" s="28">
        <v>200</v>
      </c>
      <c r="C7" s="28"/>
      <c r="D7" s="28"/>
      <c r="E7" s="28"/>
      <c r="F7" s="28"/>
      <c r="G7" s="28"/>
      <c r="H7" s="28"/>
      <c r="I7" s="28"/>
      <c r="J7" s="28"/>
      <c r="K7" s="28"/>
      <c r="L7" s="28">
        <v>200</v>
      </c>
      <c r="N7" s="32" t="s">
        <v>115</v>
      </c>
      <c r="O7" t="s">
        <v>119</v>
      </c>
      <c r="P7" t="s">
        <v>117</v>
      </c>
      <c r="R7" s="32" t="s">
        <v>115</v>
      </c>
      <c r="S7" t="s">
        <v>120</v>
      </c>
      <c r="T7" t="s">
        <v>121</v>
      </c>
    </row>
    <row r="8" spans="1:20" x14ac:dyDescent="0.25">
      <c r="A8" s="31" t="s">
        <v>4</v>
      </c>
      <c r="B8" s="28"/>
      <c r="C8" s="28"/>
      <c r="D8" s="28"/>
      <c r="E8" s="28"/>
      <c r="F8" s="28"/>
      <c r="G8" s="28"/>
      <c r="H8" s="28">
        <v>800</v>
      </c>
      <c r="I8" s="28"/>
      <c r="J8" s="28"/>
      <c r="K8" s="28"/>
      <c r="L8" s="28">
        <v>800</v>
      </c>
      <c r="N8" s="31" t="s">
        <v>96</v>
      </c>
      <c r="O8" s="28">
        <v>10000</v>
      </c>
      <c r="P8" s="28">
        <v>200</v>
      </c>
      <c r="R8" s="31" t="s">
        <v>109</v>
      </c>
      <c r="S8" s="28">
        <v>7000</v>
      </c>
      <c r="T8" s="28">
        <v>500</v>
      </c>
    </row>
    <row r="9" spans="1:20" x14ac:dyDescent="0.25">
      <c r="A9" s="31" t="s">
        <v>0</v>
      </c>
      <c r="B9" s="28"/>
      <c r="C9" s="28"/>
      <c r="D9" s="28"/>
      <c r="E9" s="28"/>
      <c r="F9" s="28"/>
      <c r="G9" s="28"/>
      <c r="H9" s="28"/>
      <c r="I9" s="28"/>
      <c r="J9" s="28">
        <v>1000</v>
      </c>
      <c r="K9" s="28"/>
      <c r="L9" s="28">
        <v>1000</v>
      </c>
      <c r="N9" s="31" t="s">
        <v>97</v>
      </c>
      <c r="O9" s="28">
        <v>9000</v>
      </c>
      <c r="P9" s="28">
        <v>300</v>
      </c>
      <c r="R9" s="31" t="s">
        <v>106</v>
      </c>
      <c r="S9" s="28">
        <v>6500</v>
      </c>
      <c r="T9" s="28">
        <v>550</v>
      </c>
    </row>
    <row r="10" spans="1:20" x14ac:dyDescent="0.25">
      <c r="A10" s="31" t="s">
        <v>92</v>
      </c>
      <c r="B10" s="28"/>
      <c r="C10" s="28"/>
      <c r="D10" s="28"/>
      <c r="E10" s="28">
        <v>500</v>
      </c>
      <c r="F10" s="28"/>
      <c r="G10" s="28"/>
      <c r="H10" s="28"/>
      <c r="I10" s="28"/>
      <c r="J10" s="28"/>
      <c r="K10" s="28"/>
      <c r="L10" s="28">
        <v>500</v>
      </c>
      <c r="N10" s="31" t="s">
        <v>98</v>
      </c>
      <c r="O10" s="28">
        <v>8000</v>
      </c>
      <c r="P10" s="28">
        <v>400</v>
      </c>
      <c r="R10" s="31" t="s">
        <v>110</v>
      </c>
      <c r="S10" s="28">
        <v>6000</v>
      </c>
      <c r="T10" s="28">
        <v>600</v>
      </c>
    </row>
    <row r="11" spans="1:20" x14ac:dyDescent="0.25">
      <c r="A11" s="31" t="s">
        <v>95</v>
      </c>
      <c r="B11" s="28"/>
      <c r="C11" s="28"/>
      <c r="D11" s="28"/>
      <c r="E11" s="28"/>
      <c r="F11" s="28"/>
      <c r="G11" s="28"/>
      <c r="H11" s="28"/>
      <c r="I11" s="28"/>
      <c r="J11" s="28"/>
      <c r="K11" s="28">
        <v>1100</v>
      </c>
      <c r="L11" s="28">
        <v>1100</v>
      </c>
      <c r="N11" s="31" t="s">
        <v>99</v>
      </c>
      <c r="O11" s="28">
        <v>7000</v>
      </c>
      <c r="P11" s="28">
        <v>500</v>
      </c>
      <c r="R11" s="31" t="s">
        <v>107</v>
      </c>
      <c r="S11" s="28">
        <v>5500</v>
      </c>
      <c r="T11" s="28">
        <v>650</v>
      </c>
    </row>
    <row r="12" spans="1:20" x14ac:dyDescent="0.25">
      <c r="A12" s="31" t="s">
        <v>93</v>
      </c>
      <c r="B12" s="28"/>
      <c r="C12" s="28"/>
      <c r="D12" s="28"/>
      <c r="E12" s="28"/>
      <c r="F12" s="28">
        <v>600</v>
      </c>
      <c r="G12" s="28"/>
      <c r="H12" s="28"/>
      <c r="I12" s="28"/>
      <c r="J12" s="28"/>
      <c r="K12" s="28"/>
      <c r="L12" s="28">
        <v>600</v>
      </c>
      <c r="N12" s="31" t="s">
        <v>100</v>
      </c>
      <c r="O12" s="28">
        <v>6000</v>
      </c>
      <c r="P12" s="28">
        <v>600</v>
      </c>
      <c r="R12" s="31" t="s">
        <v>111</v>
      </c>
      <c r="S12" s="28">
        <v>5000</v>
      </c>
      <c r="T12" s="28">
        <v>700</v>
      </c>
    </row>
    <row r="13" spans="1:20" x14ac:dyDescent="0.25">
      <c r="A13" s="31" t="s">
        <v>91</v>
      </c>
      <c r="B13" s="28"/>
      <c r="C13" s="28"/>
      <c r="D13" s="28">
        <v>400</v>
      </c>
      <c r="E13" s="28"/>
      <c r="F13" s="28"/>
      <c r="G13" s="28"/>
      <c r="H13" s="28"/>
      <c r="I13" s="28"/>
      <c r="J13" s="28"/>
      <c r="K13" s="28"/>
      <c r="L13" s="28">
        <v>400</v>
      </c>
      <c r="N13" s="31" t="s">
        <v>101</v>
      </c>
      <c r="O13" s="28">
        <v>5000</v>
      </c>
      <c r="P13" s="28">
        <v>700</v>
      </c>
      <c r="R13" s="31" t="s">
        <v>108</v>
      </c>
      <c r="S13" s="28">
        <v>4500</v>
      </c>
      <c r="T13" s="28">
        <v>750</v>
      </c>
    </row>
    <row r="14" spans="1:20" x14ac:dyDescent="0.25">
      <c r="A14" s="31" t="s">
        <v>25</v>
      </c>
      <c r="B14" s="28"/>
      <c r="C14" s="28">
        <v>300</v>
      </c>
      <c r="D14" s="28"/>
      <c r="E14" s="28"/>
      <c r="F14" s="28"/>
      <c r="G14" s="28"/>
      <c r="H14" s="28"/>
      <c r="I14" s="28"/>
      <c r="J14" s="28"/>
      <c r="K14" s="28"/>
      <c r="L14" s="28">
        <v>300</v>
      </c>
      <c r="N14" s="31" t="s">
        <v>102</v>
      </c>
      <c r="O14" s="28">
        <v>4000</v>
      </c>
      <c r="P14" s="28">
        <v>800</v>
      </c>
      <c r="R14" s="31" t="s">
        <v>112</v>
      </c>
      <c r="S14" s="28">
        <v>4000</v>
      </c>
      <c r="T14" s="28">
        <v>800</v>
      </c>
    </row>
    <row r="15" spans="1:20" x14ac:dyDescent="0.25">
      <c r="A15" s="31" t="s">
        <v>94</v>
      </c>
      <c r="B15" s="28"/>
      <c r="C15" s="28"/>
      <c r="D15" s="28"/>
      <c r="E15" s="28"/>
      <c r="F15" s="28"/>
      <c r="G15" s="28">
        <v>700</v>
      </c>
      <c r="H15" s="28"/>
      <c r="I15" s="28"/>
      <c r="J15" s="28"/>
      <c r="K15" s="28"/>
      <c r="L15" s="28">
        <v>700</v>
      </c>
      <c r="N15" s="31" t="s">
        <v>103</v>
      </c>
      <c r="O15" s="28">
        <v>3000</v>
      </c>
      <c r="P15" s="28">
        <v>900</v>
      </c>
      <c r="R15" s="31" t="s">
        <v>116</v>
      </c>
      <c r="S15" s="28">
        <v>5500</v>
      </c>
      <c r="T15" s="28">
        <v>650</v>
      </c>
    </row>
    <row r="16" spans="1:20" x14ac:dyDescent="0.25">
      <c r="A16" s="31" t="s">
        <v>1</v>
      </c>
      <c r="B16" s="28"/>
      <c r="C16" s="28"/>
      <c r="D16" s="28"/>
      <c r="E16" s="28"/>
      <c r="F16" s="28"/>
      <c r="G16" s="28"/>
      <c r="H16" s="28"/>
      <c r="I16" s="28">
        <v>900</v>
      </c>
      <c r="J16" s="28"/>
      <c r="K16" s="28"/>
      <c r="L16" s="28">
        <v>900</v>
      </c>
      <c r="N16" s="31" t="s">
        <v>104</v>
      </c>
      <c r="O16" s="28">
        <v>2000</v>
      </c>
      <c r="P16" s="28">
        <v>1000</v>
      </c>
    </row>
    <row r="17" spans="1:16" x14ac:dyDescent="0.25">
      <c r="A17" s="31" t="s">
        <v>116</v>
      </c>
      <c r="B17" s="28">
        <v>200</v>
      </c>
      <c r="C17" s="28">
        <v>300</v>
      </c>
      <c r="D17" s="28">
        <v>400</v>
      </c>
      <c r="E17" s="28">
        <v>500</v>
      </c>
      <c r="F17" s="28">
        <v>600</v>
      </c>
      <c r="G17" s="28">
        <v>700</v>
      </c>
      <c r="H17" s="28">
        <v>800</v>
      </c>
      <c r="I17" s="28">
        <v>900</v>
      </c>
      <c r="J17" s="28">
        <v>1000</v>
      </c>
      <c r="K17" s="28">
        <v>1100</v>
      </c>
      <c r="L17" s="28">
        <v>6500</v>
      </c>
      <c r="N17" s="31" t="s">
        <v>105</v>
      </c>
      <c r="O17" s="28">
        <v>1000</v>
      </c>
      <c r="P17" s="28">
        <v>1100</v>
      </c>
    </row>
    <row r="18" spans="1:16" x14ac:dyDescent="0.25">
      <c r="N18" s="31" t="s">
        <v>116</v>
      </c>
      <c r="O18" s="28">
        <v>55000</v>
      </c>
      <c r="P18" s="28">
        <v>6500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C6866-977A-42D2-ABFD-4C3EDDC4DD6F}">
  <dimension ref="A1:R52"/>
  <sheetViews>
    <sheetView topLeftCell="A21" workbookViewId="0">
      <selection activeCell="J52" sqref="J52"/>
    </sheetView>
  </sheetViews>
  <sheetFormatPr defaultRowHeight="15" x14ac:dyDescent="0.25"/>
  <cols>
    <col min="1" max="1" width="8.7109375" bestFit="1" customWidth="1"/>
    <col min="2" max="2" width="13.140625" bestFit="1" customWidth="1"/>
    <col min="3" max="4" width="19" bestFit="1" customWidth="1"/>
    <col min="5" max="5" width="13.140625" bestFit="1" customWidth="1"/>
    <col min="6" max="6" width="19" bestFit="1" customWidth="1"/>
    <col min="7" max="7" width="17.85546875" bestFit="1" customWidth="1"/>
    <col min="8" max="8" width="19.140625" bestFit="1" customWidth="1"/>
    <col min="9" max="9" width="13.140625" bestFit="1" customWidth="1"/>
    <col min="10" max="10" width="19" bestFit="1" customWidth="1"/>
    <col min="11" max="11" width="17.42578125" customWidth="1"/>
    <col min="12" max="12" width="13.85546875" customWidth="1"/>
    <col min="14" max="14" width="11" bestFit="1" customWidth="1"/>
    <col min="15" max="15" width="10.85546875" bestFit="1" customWidth="1"/>
    <col min="16" max="16" width="13.5703125" bestFit="1" customWidth="1"/>
    <col min="17" max="17" width="11.42578125" bestFit="1" customWidth="1"/>
    <col min="18" max="18" width="9.7109375" bestFit="1" customWidth="1"/>
    <col min="19" max="19" width="13.5703125" bestFit="1" customWidth="1"/>
    <col min="20" max="20" width="18.28515625" bestFit="1" customWidth="1"/>
    <col min="21" max="21" width="19.28515625" bestFit="1" customWidth="1"/>
    <col min="23" max="23" width="10" bestFit="1" customWidth="1"/>
  </cols>
  <sheetData>
    <row r="1" spans="1:18" ht="20.25" x14ac:dyDescent="0.3">
      <c r="A1" s="24" t="s">
        <v>3</v>
      </c>
      <c r="B1" s="24" t="s">
        <v>84</v>
      </c>
      <c r="C1" s="24" t="s">
        <v>85</v>
      </c>
      <c r="D1" s="24" t="s">
        <v>86</v>
      </c>
      <c r="E1" s="24" t="s">
        <v>87</v>
      </c>
      <c r="F1" s="25" t="s">
        <v>88</v>
      </c>
      <c r="G1" s="25" t="s">
        <v>89</v>
      </c>
      <c r="H1" s="26" t="s">
        <v>113</v>
      </c>
    </row>
    <row r="2" spans="1:18" x14ac:dyDescent="0.25">
      <c r="A2" s="2">
        <v>1</v>
      </c>
      <c r="B2" s="2" t="s">
        <v>90</v>
      </c>
      <c r="C2" s="2" t="s">
        <v>96</v>
      </c>
      <c r="D2" s="2">
        <v>9388</v>
      </c>
      <c r="E2" s="23" t="s">
        <v>106</v>
      </c>
      <c r="F2" s="27">
        <v>200</v>
      </c>
      <c r="G2" s="27">
        <v>10000</v>
      </c>
      <c r="H2" s="30"/>
    </row>
    <row r="3" spans="1:18" x14ac:dyDescent="0.25">
      <c r="A3" s="2">
        <v>2</v>
      </c>
      <c r="B3" s="2" t="s">
        <v>25</v>
      </c>
      <c r="C3" s="2" t="s">
        <v>97</v>
      </c>
      <c r="D3" s="2">
        <v>8374</v>
      </c>
      <c r="E3" s="23" t="s">
        <v>107</v>
      </c>
      <c r="F3" s="27">
        <v>300</v>
      </c>
      <c r="G3" s="27">
        <v>9000</v>
      </c>
      <c r="H3" s="22" t="str">
        <f t="shared" ref="H3:H11" si="0">IF(G3&gt;=4000,"yes","No")</f>
        <v>yes</v>
      </c>
    </row>
    <row r="4" spans="1:18" x14ac:dyDescent="0.25">
      <c r="A4" s="2">
        <v>3</v>
      </c>
      <c r="B4" s="2" t="s">
        <v>91</v>
      </c>
      <c r="C4" s="2" t="s">
        <v>98</v>
      </c>
      <c r="D4" s="2">
        <v>8748</v>
      </c>
      <c r="E4" s="23" t="s">
        <v>108</v>
      </c>
      <c r="F4" s="27">
        <v>400</v>
      </c>
      <c r="G4" s="27">
        <v>8000</v>
      </c>
      <c r="H4" s="22" t="str">
        <f t="shared" si="0"/>
        <v>yes</v>
      </c>
    </row>
    <row r="5" spans="1:18" x14ac:dyDescent="0.25">
      <c r="A5" s="2">
        <v>4</v>
      </c>
      <c r="B5" s="2" t="s">
        <v>92</v>
      </c>
      <c r="C5" s="2" t="s">
        <v>99</v>
      </c>
      <c r="D5" s="2">
        <v>8950</v>
      </c>
      <c r="E5" s="23" t="s">
        <v>109</v>
      </c>
      <c r="F5" s="27">
        <v>500</v>
      </c>
      <c r="G5" s="27">
        <v>7000</v>
      </c>
      <c r="H5" s="22" t="str">
        <f t="shared" si="0"/>
        <v>yes</v>
      </c>
    </row>
    <row r="6" spans="1:18" ht="20.25" x14ac:dyDescent="0.3">
      <c r="A6" s="2">
        <v>5</v>
      </c>
      <c r="B6" s="2" t="s">
        <v>93</v>
      </c>
      <c r="C6" s="2" t="s">
        <v>100</v>
      </c>
      <c r="D6" s="2">
        <v>5437</v>
      </c>
      <c r="E6" s="23" t="s">
        <v>110</v>
      </c>
      <c r="F6" s="27">
        <v>600</v>
      </c>
      <c r="G6" s="27">
        <v>6000</v>
      </c>
      <c r="H6" s="22" t="str">
        <f t="shared" si="0"/>
        <v>yes</v>
      </c>
      <c r="K6" s="24" t="s">
        <v>3</v>
      </c>
      <c r="L6" s="24" t="s">
        <v>84</v>
      </c>
      <c r="M6" s="24" t="s">
        <v>85</v>
      </c>
      <c r="N6" s="24" t="s">
        <v>86</v>
      </c>
      <c r="O6" s="24" t="s">
        <v>87</v>
      </c>
      <c r="P6" s="25" t="s">
        <v>88</v>
      </c>
      <c r="Q6" s="25" t="s">
        <v>89</v>
      </c>
      <c r="R6" s="26" t="s">
        <v>113</v>
      </c>
    </row>
    <row r="7" spans="1:18" x14ac:dyDescent="0.25">
      <c r="A7" s="2">
        <v>6</v>
      </c>
      <c r="B7" s="2" t="s">
        <v>94</v>
      </c>
      <c r="C7" s="2" t="s">
        <v>101</v>
      </c>
      <c r="D7" s="2">
        <v>8738</v>
      </c>
      <c r="E7" s="23" t="s">
        <v>111</v>
      </c>
      <c r="F7" s="27">
        <v>700</v>
      </c>
      <c r="G7" s="27">
        <v>5000</v>
      </c>
      <c r="H7" s="22" t="str">
        <f t="shared" si="0"/>
        <v>yes</v>
      </c>
      <c r="K7">
        <v>5</v>
      </c>
      <c r="L7" t="str">
        <f>VLOOKUP($K$7,$A$1:$H$11,MATCH(L6,$K$6:$R$6,0),0)</f>
        <v>Shakib</v>
      </c>
      <c r="M7" t="str">
        <f t="shared" ref="M7:R7" si="1">VLOOKUP($K$7,$A$1:$H$11,MATCH(M6,$K$6:$R$6,0),0)</f>
        <v>May</v>
      </c>
      <c r="N7">
        <f t="shared" si="1"/>
        <v>5437</v>
      </c>
      <c r="O7" t="str">
        <f t="shared" si="1"/>
        <v>Wednesday</v>
      </c>
      <c r="P7">
        <f t="shared" si="1"/>
        <v>600</v>
      </c>
      <c r="Q7">
        <f t="shared" si="1"/>
        <v>6000</v>
      </c>
      <c r="R7" t="str">
        <f t="shared" si="1"/>
        <v>yes</v>
      </c>
    </row>
    <row r="8" spans="1:18" x14ac:dyDescent="0.25">
      <c r="A8" s="2">
        <v>7</v>
      </c>
      <c r="B8" s="2" t="s">
        <v>4</v>
      </c>
      <c r="C8" s="2" t="s">
        <v>102</v>
      </c>
      <c r="D8" s="2">
        <v>9375</v>
      </c>
      <c r="E8" s="23" t="s">
        <v>112</v>
      </c>
      <c r="F8" s="27">
        <v>800</v>
      </c>
      <c r="G8" s="27">
        <v>4000</v>
      </c>
      <c r="H8" s="22" t="str">
        <f t="shared" si="0"/>
        <v>yes</v>
      </c>
    </row>
    <row r="9" spans="1:18" x14ac:dyDescent="0.25">
      <c r="A9" s="2">
        <v>8</v>
      </c>
      <c r="B9" s="2" t="s">
        <v>1</v>
      </c>
      <c r="C9" s="2" t="s">
        <v>103</v>
      </c>
      <c r="D9" s="2">
        <v>8374</v>
      </c>
      <c r="E9" s="23" t="s">
        <v>106</v>
      </c>
      <c r="F9" s="27">
        <v>900</v>
      </c>
      <c r="G9" s="27">
        <v>3000</v>
      </c>
      <c r="H9" s="22" t="str">
        <f t="shared" si="0"/>
        <v>No</v>
      </c>
    </row>
    <row r="10" spans="1:18" x14ac:dyDescent="0.25">
      <c r="A10" s="2">
        <v>9</v>
      </c>
      <c r="B10" s="2" t="s">
        <v>0</v>
      </c>
      <c r="C10" s="2" t="s">
        <v>104</v>
      </c>
      <c r="D10" s="2">
        <v>7635</v>
      </c>
      <c r="E10" s="23" t="s">
        <v>107</v>
      </c>
      <c r="F10" s="27">
        <v>1000</v>
      </c>
      <c r="G10" s="27">
        <v>2000</v>
      </c>
      <c r="H10" s="22" t="str">
        <f t="shared" si="0"/>
        <v>No</v>
      </c>
    </row>
    <row r="11" spans="1:18" x14ac:dyDescent="0.25">
      <c r="A11" s="2">
        <v>10</v>
      </c>
      <c r="B11" s="2" t="s">
        <v>95</v>
      </c>
      <c r="C11" s="2" t="s">
        <v>105</v>
      </c>
      <c r="D11" s="2">
        <v>6354</v>
      </c>
      <c r="E11" s="23" t="s">
        <v>108</v>
      </c>
      <c r="F11" s="27">
        <v>1100</v>
      </c>
      <c r="G11" s="27">
        <v>1000</v>
      </c>
      <c r="H11" s="22" t="str">
        <f t="shared" si="0"/>
        <v>No</v>
      </c>
    </row>
    <row r="12" spans="1:18" x14ac:dyDescent="0.25">
      <c r="G12" s="28"/>
    </row>
    <row r="14" spans="1:18" ht="20.25" x14ac:dyDescent="0.3">
      <c r="K14" s="24" t="s">
        <v>3</v>
      </c>
      <c r="L14">
        <v>5</v>
      </c>
    </row>
    <row r="15" spans="1:18" ht="20.25" x14ac:dyDescent="0.3">
      <c r="I15" s="29"/>
      <c r="K15" s="24" t="s">
        <v>84</v>
      </c>
      <c r="L15" t="str">
        <f>INDEX($A$1:$H$11,MATCH($L$14,$A$1:$A$11,0),MATCH(K15,$A$1:$H$1,0))</f>
        <v>Shakib</v>
      </c>
    </row>
    <row r="16" spans="1:18" ht="20.25" x14ac:dyDescent="0.3">
      <c r="I16" s="29"/>
      <c r="K16" s="24" t="s">
        <v>85</v>
      </c>
      <c r="L16" t="str">
        <f t="shared" ref="L16:L21" si="2">INDEX($A$1:$H$11,MATCH($L$14,$A$1:$A$11,0),MATCH(K16,$A$1:$H$1,0))</f>
        <v>May</v>
      </c>
    </row>
    <row r="17" spans="1:12" ht="20.25" x14ac:dyDescent="0.3">
      <c r="A17" s="24" t="s">
        <v>3</v>
      </c>
      <c r="B17" s="24" t="s">
        <v>84</v>
      </c>
      <c r="C17" s="24" t="s">
        <v>85</v>
      </c>
      <c r="D17" s="24" t="s">
        <v>86</v>
      </c>
      <c r="E17" s="24" t="s">
        <v>87</v>
      </c>
      <c r="F17" s="25" t="s">
        <v>88</v>
      </c>
      <c r="G17" s="25" t="s">
        <v>89</v>
      </c>
      <c r="H17" s="26" t="s">
        <v>113</v>
      </c>
      <c r="K17" s="24" t="s">
        <v>86</v>
      </c>
      <c r="L17">
        <f t="shared" si="2"/>
        <v>5437</v>
      </c>
    </row>
    <row r="18" spans="1:12" ht="20.25" x14ac:dyDescent="0.3">
      <c r="A18" s="2">
        <v>1</v>
      </c>
      <c r="B18" t="str">
        <f t="shared" ref="B18:H18" si="3">VLOOKUP(A18,A1:H11,2,0)</f>
        <v>Abu Bakker</v>
      </c>
      <c r="C18" t="str">
        <f t="shared" si="3"/>
        <v>January</v>
      </c>
      <c r="D18">
        <f t="shared" si="3"/>
        <v>9388</v>
      </c>
      <c r="E18" t="str">
        <f t="shared" si="3"/>
        <v>Saturday</v>
      </c>
      <c r="F18">
        <f t="shared" si="3"/>
        <v>200</v>
      </c>
      <c r="G18">
        <f t="shared" si="3"/>
        <v>10000</v>
      </c>
      <c r="H18">
        <f t="shared" si="3"/>
        <v>0</v>
      </c>
      <c r="K18" s="24" t="s">
        <v>87</v>
      </c>
      <c r="L18" t="str">
        <f t="shared" si="2"/>
        <v>Wednesday</v>
      </c>
    </row>
    <row r="19" spans="1:12" ht="20.25" x14ac:dyDescent="0.3">
      <c r="A19" s="2">
        <v>2</v>
      </c>
      <c r="B19" t="str">
        <f t="shared" ref="B19:B27" si="4">VLOOKUP(A19,A2:H12,2,0)</f>
        <v>Siddik</v>
      </c>
      <c r="C19" t="str">
        <f t="shared" ref="C19:C27" si="5">VLOOKUP(B19,B2:I12,2,0)</f>
        <v>February</v>
      </c>
      <c r="D19">
        <f t="shared" ref="D19:D27" si="6">VLOOKUP(C19,C2:J12,2,0)</f>
        <v>8374</v>
      </c>
      <c r="E19" t="str">
        <f t="shared" ref="E19:E27" si="7">VLOOKUP(D19,D2:K12,2,0)</f>
        <v>Sunday</v>
      </c>
      <c r="F19">
        <f t="shared" ref="F19:F27" si="8">VLOOKUP(E19,E2:L12,2,0)</f>
        <v>300</v>
      </c>
      <c r="G19">
        <f t="shared" ref="G19:G27" si="9">VLOOKUP(F19,F2:M12,2,0)</f>
        <v>9000</v>
      </c>
      <c r="H19" t="str">
        <f t="shared" ref="H19:H27" si="10">VLOOKUP(G19,G2:N12,2,0)</f>
        <v>yes</v>
      </c>
      <c r="K19" s="25" t="s">
        <v>88</v>
      </c>
      <c r="L19">
        <f t="shared" si="2"/>
        <v>600</v>
      </c>
    </row>
    <row r="20" spans="1:12" ht="20.25" x14ac:dyDescent="0.3">
      <c r="A20" s="2">
        <v>3</v>
      </c>
      <c r="B20" t="str">
        <f t="shared" si="4"/>
        <v>Shoan</v>
      </c>
      <c r="C20" t="str">
        <f t="shared" si="5"/>
        <v>March</v>
      </c>
      <c r="D20">
        <f t="shared" si="6"/>
        <v>8748</v>
      </c>
      <c r="E20" t="str">
        <f t="shared" si="7"/>
        <v>Monday</v>
      </c>
      <c r="F20">
        <f t="shared" si="8"/>
        <v>400</v>
      </c>
      <c r="G20">
        <f t="shared" si="9"/>
        <v>8000</v>
      </c>
      <c r="H20" t="str">
        <f t="shared" si="10"/>
        <v>yes</v>
      </c>
      <c r="K20" s="25" t="s">
        <v>89</v>
      </c>
      <c r="L20">
        <f t="shared" si="2"/>
        <v>6000</v>
      </c>
    </row>
    <row r="21" spans="1:12" ht="20.25" x14ac:dyDescent="0.3">
      <c r="A21" s="2">
        <v>4</v>
      </c>
      <c r="B21" t="str">
        <f t="shared" si="4"/>
        <v>Rana</v>
      </c>
      <c r="C21" t="str">
        <f t="shared" si="5"/>
        <v>April</v>
      </c>
      <c r="D21">
        <f t="shared" si="6"/>
        <v>8950</v>
      </c>
      <c r="E21" t="str">
        <f t="shared" si="7"/>
        <v>Tuesday</v>
      </c>
      <c r="F21">
        <f t="shared" si="8"/>
        <v>500</v>
      </c>
      <c r="G21">
        <f t="shared" si="9"/>
        <v>7000</v>
      </c>
      <c r="H21" t="str">
        <f t="shared" si="10"/>
        <v>yes</v>
      </c>
      <c r="K21" s="26" t="s">
        <v>113</v>
      </c>
      <c r="L21" t="str">
        <f t="shared" si="2"/>
        <v>yes</v>
      </c>
    </row>
    <row r="22" spans="1:12" x14ac:dyDescent="0.25">
      <c r="A22" s="2">
        <v>5</v>
      </c>
      <c r="B22" t="str">
        <f t="shared" si="4"/>
        <v>Shakib</v>
      </c>
      <c r="C22" t="str">
        <f t="shared" si="5"/>
        <v>May</v>
      </c>
      <c r="D22">
        <f t="shared" si="6"/>
        <v>5437</v>
      </c>
      <c r="E22" t="str">
        <f t="shared" si="7"/>
        <v>Wednesday</v>
      </c>
      <c r="F22">
        <f t="shared" si="8"/>
        <v>600</v>
      </c>
      <c r="G22">
        <f t="shared" si="9"/>
        <v>6000</v>
      </c>
      <c r="H22" t="str">
        <f t="shared" si="10"/>
        <v>yes</v>
      </c>
    </row>
    <row r="23" spans="1:12" x14ac:dyDescent="0.25">
      <c r="A23" s="2">
        <v>6</v>
      </c>
      <c r="B23" t="str">
        <f t="shared" si="4"/>
        <v>Somun</v>
      </c>
      <c r="C23" t="str">
        <f t="shared" si="5"/>
        <v>June</v>
      </c>
      <c r="D23">
        <f t="shared" si="6"/>
        <v>8738</v>
      </c>
      <c r="E23" t="str">
        <f t="shared" si="7"/>
        <v>Thursday</v>
      </c>
      <c r="F23">
        <f t="shared" si="8"/>
        <v>700</v>
      </c>
      <c r="G23">
        <f t="shared" si="9"/>
        <v>5000</v>
      </c>
      <c r="H23" t="str">
        <f t="shared" si="10"/>
        <v>yes</v>
      </c>
    </row>
    <row r="24" spans="1:12" x14ac:dyDescent="0.25">
      <c r="A24" s="2">
        <v>7</v>
      </c>
      <c r="B24" t="str">
        <f t="shared" si="4"/>
        <v>Arafat</v>
      </c>
      <c r="C24" t="str">
        <f t="shared" si="5"/>
        <v>July</v>
      </c>
      <c r="D24">
        <f t="shared" si="6"/>
        <v>9375</v>
      </c>
      <c r="E24" t="str">
        <f t="shared" si="7"/>
        <v>Friday</v>
      </c>
      <c r="F24">
        <f t="shared" si="8"/>
        <v>800</v>
      </c>
      <c r="G24">
        <f t="shared" si="9"/>
        <v>4000</v>
      </c>
      <c r="H24" t="str">
        <f t="shared" si="10"/>
        <v>yes</v>
      </c>
    </row>
    <row r="25" spans="1:12" x14ac:dyDescent="0.25">
      <c r="A25" s="2">
        <v>8</v>
      </c>
      <c r="B25" t="str">
        <f t="shared" si="4"/>
        <v>Tamim</v>
      </c>
      <c r="C25" t="str">
        <f t="shared" si="5"/>
        <v>August</v>
      </c>
      <c r="D25">
        <f t="shared" si="6"/>
        <v>8374</v>
      </c>
      <c r="E25" t="str">
        <f t="shared" si="7"/>
        <v>Saturday</v>
      </c>
      <c r="F25">
        <f t="shared" si="8"/>
        <v>900</v>
      </c>
      <c r="G25">
        <f t="shared" si="9"/>
        <v>3000</v>
      </c>
      <c r="H25" t="str">
        <f t="shared" si="10"/>
        <v>No</v>
      </c>
    </row>
    <row r="26" spans="1:12" x14ac:dyDescent="0.25">
      <c r="A26" s="2">
        <v>9</v>
      </c>
      <c r="B26" t="str">
        <f t="shared" si="4"/>
        <v>Rakib</v>
      </c>
      <c r="C26" t="str">
        <f t="shared" si="5"/>
        <v>September</v>
      </c>
      <c r="D26">
        <f t="shared" si="6"/>
        <v>7635</v>
      </c>
      <c r="E26" t="str">
        <f t="shared" si="7"/>
        <v>Sunday</v>
      </c>
      <c r="F26">
        <f t="shared" si="8"/>
        <v>1000</v>
      </c>
      <c r="G26">
        <f t="shared" si="9"/>
        <v>2000</v>
      </c>
      <c r="H26" t="str">
        <f t="shared" si="10"/>
        <v>No</v>
      </c>
    </row>
    <row r="27" spans="1:12" x14ac:dyDescent="0.25">
      <c r="A27" s="2">
        <v>10</v>
      </c>
      <c r="B27" t="str">
        <f t="shared" si="4"/>
        <v>Rohan</v>
      </c>
      <c r="C27" t="str">
        <f t="shared" si="5"/>
        <v>October</v>
      </c>
      <c r="D27">
        <f t="shared" si="6"/>
        <v>6354</v>
      </c>
      <c r="E27" t="str">
        <f t="shared" si="7"/>
        <v>Monday</v>
      </c>
      <c r="F27">
        <f t="shared" si="8"/>
        <v>1100</v>
      </c>
      <c r="G27">
        <f t="shared" si="9"/>
        <v>1000</v>
      </c>
      <c r="H27" t="str">
        <f t="shared" si="10"/>
        <v>No</v>
      </c>
    </row>
    <row r="29" spans="1:12" x14ac:dyDescent="0.25">
      <c r="I29" s="32" t="s">
        <v>115</v>
      </c>
      <c r="J29" t="s">
        <v>119</v>
      </c>
    </row>
    <row r="30" spans="1:12" x14ac:dyDescent="0.25">
      <c r="I30" s="31" t="s">
        <v>90</v>
      </c>
      <c r="J30" s="28">
        <v>10000</v>
      </c>
    </row>
    <row r="31" spans="1:12" x14ac:dyDescent="0.25">
      <c r="E31" s="32" t="s">
        <v>115</v>
      </c>
      <c r="F31" t="s">
        <v>119</v>
      </c>
      <c r="I31" s="31" t="s">
        <v>4</v>
      </c>
      <c r="J31" s="28">
        <v>4000</v>
      </c>
    </row>
    <row r="32" spans="1:12" x14ac:dyDescent="0.25">
      <c r="E32" s="31" t="s">
        <v>90</v>
      </c>
      <c r="F32" s="28">
        <v>10000</v>
      </c>
      <c r="I32" s="31" t="s">
        <v>0</v>
      </c>
      <c r="J32" s="28">
        <v>2000</v>
      </c>
    </row>
    <row r="33" spans="2:10" x14ac:dyDescent="0.25">
      <c r="E33" s="36">
        <v>0</v>
      </c>
      <c r="F33" s="28">
        <v>10000</v>
      </c>
      <c r="I33" s="31" t="s">
        <v>92</v>
      </c>
      <c r="J33" s="28">
        <v>7000</v>
      </c>
    </row>
    <row r="34" spans="2:10" x14ac:dyDescent="0.25">
      <c r="E34" s="31" t="s">
        <v>4</v>
      </c>
      <c r="F34" s="28">
        <v>4000</v>
      </c>
      <c r="I34" s="31" t="s">
        <v>95</v>
      </c>
      <c r="J34" s="28">
        <v>1000</v>
      </c>
    </row>
    <row r="35" spans="2:10" x14ac:dyDescent="0.25">
      <c r="B35" s="32" t="s">
        <v>115</v>
      </c>
      <c r="C35" t="s">
        <v>117</v>
      </c>
      <c r="D35" t="s">
        <v>119</v>
      </c>
      <c r="E35" s="36" t="s">
        <v>276</v>
      </c>
      <c r="F35" s="28">
        <v>4000</v>
      </c>
      <c r="I35" s="31" t="s">
        <v>93</v>
      </c>
      <c r="J35" s="28">
        <v>6000</v>
      </c>
    </row>
    <row r="36" spans="2:10" x14ac:dyDescent="0.25">
      <c r="B36" s="31" t="s">
        <v>96</v>
      </c>
      <c r="C36" s="28">
        <v>200</v>
      </c>
      <c r="D36" s="28">
        <v>10000</v>
      </c>
      <c r="E36" s="31" t="s">
        <v>0</v>
      </c>
      <c r="F36" s="28">
        <v>2000</v>
      </c>
      <c r="I36" s="31" t="s">
        <v>91</v>
      </c>
      <c r="J36" s="28">
        <v>8000</v>
      </c>
    </row>
    <row r="37" spans="2:10" x14ac:dyDescent="0.25">
      <c r="B37" s="31" t="s">
        <v>97</v>
      </c>
      <c r="C37" s="28">
        <v>300</v>
      </c>
      <c r="D37" s="28">
        <v>9000</v>
      </c>
      <c r="E37" s="36" t="s">
        <v>277</v>
      </c>
      <c r="F37" s="28">
        <v>2000</v>
      </c>
      <c r="I37" s="31" t="s">
        <v>25</v>
      </c>
      <c r="J37" s="28">
        <v>9000</v>
      </c>
    </row>
    <row r="38" spans="2:10" x14ac:dyDescent="0.25">
      <c r="B38" s="31" t="s">
        <v>98</v>
      </c>
      <c r="C38" s="28">
        <v>400</v>
      </c>
      <c r="D38" s="28">
        <v>8000</v>
      </c>
      <c r="E38" s="31" t="s">
        <v>92</v>
      </c>
      <c r="F38" s="28">
        <v>7000</v>
      </c>
      <c r="I38" s="31" t="s">
        <v>94</v>
      </c>
      <c r="J38" s="28">
        <v>5000</v>
      </c>
    </row>
    <row r="39" spans="2:10" x14ac:dyDescent="0.25">
      <c r="B39" s="31" t="s">
        <v>99</v>
      </c>
      <c r="C39" s="28">
        <v>500</v>
      </c>
      <c r="D39" s="28">
        <v>7000</v>
      </c>
      <c r="E39" s="36" t="s">
        <v>276</v>
      </c>
      <c r="F39" s="28">
        <v>7000</v>
      </c>
      <c r="I39" s="31" t="s">
        <v>1</v>
      </c>
      <c r="J39" s="28">
        <v>3000</v>
      </c>
    </row>
    <row r="40" spans="2:10" x14ac:dyDescent="0.25">
      <c r="B40" s="31" t="s">
        <v>100</v>
      </c>
      <c r="C40" s="28">
        <v>600</v>
      </c>
      <c r="D40" s="28">
        <v>6000</v>
      </c>
      <c r="E40" s="31" t="s">
        <v>95</v>
      </c>
      <c r="F40" s="28">
        <v>1000</v>
      </c>
      <c r="I40" s="31" t="s">
        <v>116</v>
      </c>
      <c r="J40" s="28">
        <v>55000</v>
      </c>
    </row>
    <row r="41" spans="2:10" x14ac:dyDescent="0.25">
      <c r="B41" s="31" t="s">
        <v>101</v>
      </c>
      <c r="C41" s="28">
        <v>700</v>
      </c>
      <c r="D41" s="28">
        <v>5000</v>
      </c>
      <c r="E41" s="36" t="s">
        <v>277</v>
      </c>
      <c r="F41" s="28">
        <v>1000</v>
      </c>
    </row>
    <row r="42" spans="2:10" x14ac:dyDescent="0.25">
      <c r="B42" s="31" t="s">
        <v>102</v>
      </c>
      <c r="C42" s="28">
        <v>800</v>
      </c>
      <c r="D42" s="28">
        <v>4000</v>
      </c>
      <c r="E42" s="31" t="s">
        <v>93</v>
      </c>
      <c r="F42" s="28">
        <v>6000</v>
      </c>
    </row>
    <row r="43" spans="2:10" x14ac:dyDescent="0.25">
      <c r="B43" s="31" t="s">
        <v>103</v>
      </c>
      <c r="C43" s="28">
        <v>900</v>
      </c>
      <c r="D43" s="28">
        <v>3000</v>
      </c>
      <c r="E43" s="36" t="s">
        <v>276</v>
      </c>
      <c r="F43" s="28">
        <v>6000</v>
      </c>
    </row>
    <row r="44" spans="2:10" x14ac:dyDescent="0.25">
      <c r="B44" s="31" t="s">
        <v>104</v>
      </c>
      <c r="C44" s="28">
        <v>1000</v>
      </c>
      <c r="D44" s="28">
        <v>2000</v>
      </c>
      <c r="E44" s="31" t="s">
        <v>91</v>
      </c>
      <c r="F44" s="28">
        <v>8000</v>
      </c>
    </row>
    <row r="45" spans="2:10" x14ac:dyDescent="0.25">
      <c r="B45" s="31" t="s">
        <v>105</v>
      </c>
      <c r="C45" s="28">
        <v>1100</v>
      </c>
      <c r="D45" s="28">
        <v>1000</v>
      </c>
      <c r="E45" s="36" t="s">
        <v>276</v>
      </c>
      <c r="F45" s="28">
        <v>8000</v>
      </c>
    </row>
    <row r="46" spans="2:10" x14ac:dyDescent="0.25">
      <c r="B46" s="31" t="s">
        <v>116</v>
      </c>
      <c r="C46" s="28">
        <v>6500</v>
      </c>
      <c r="D46" s="28">
        <v>55000</v>
      </c>
      <c r="E46" s="31" t="s">
        <v>25</v>
      </c>
      <c r="F46" s="28">
        <v>9000</v>
      </c>
    </row>
    <row r="47" spans="2:10" x14ac:dyDescent="0.25">
      <c r="E47" s="36" t="s">
        <v>276</v>
      </c>
      <c r="F47" s="28">
        <v>9000</v>
      </c>
    </row>
    <row r="48" spans="2:10" x14ac:dyDescent="0.25">
      <c r="E48" s="31" t="s">
        <v>94</v>
      </c>
      <c r="F48" s="28">
        <v>5000</v>
      </c>
    </row>
    <row r="49" spans="5:6" x14ac:dyDescent="0.25">
      <c r="E49" s="36" t="s">
        <v>276</v>
      </c>
      <c r="F49" s="28">
        <v>5000</v>
      </c>
    </row>
    <row r="50" spans="5:6" x14ac:dyDescent="0.25">
      <c r="E50" s="31" t="s">
        <v>1</v>
      </c>
      <c r="F50" s="28">
        <v>3000</v>
      </c>
    </row>
    <row r="51" spans="5:6" x14ac:dyDescent="0.25">
      <c r="E51" s="36" t="s">
        <v>277</v>
      </c>
      <c r="F51" s="28">
        <v>3000</v>
      </c>
    </row>
    <row r="52" spans="5:6" x14ac:dyDescent="0.25">
      <c r="E52" s="31" t="s">
        <v>116</v>
      </c>
      <c r="F52" s="28">
        <v>55000</v>
      </c>
    </row>
  </sheetData>
  <autoFilter ref="A1:H11" xr:uid="{975C6866-977A-42D2-ABFD-4C3EDDC4DD6F}"/>
  <phoneticPr fontId="2" type="noConversion"/>
  <conditionalFormatting sqref="G2:G11">
    <cfRule type="cellIs" dxfId="25" priority="9" operator="greaterThan">
      <formula>3999</formula>
    </cfRule>
  </conditionalFormatting>
  <conditionalFormatting sqref="H2:H11">
    <cfRule type="cellIs" dxfId="24" priority="5" operator="equal">
      <formula>"yes"</formula>
    </cfRule>
    <cfRule type="cellIs" dxfId="23" priority="6" operator="greaterThan">
      <formula>"yes"</formula>
    </cfRule>
    <cfRule type="cellIs" dxfId="22" priority="7" operator="greaterThan">
      <formula>"yes"</formula>
    </cfRule>
    <cfRule type="cellIs" dxfId="21" priority="8" operator="greaterThan">
      <formula>"yes"</formula>
    </cfRule>
  </conditionalFormatting>
  <dataValidations count="1">
    <dataValidation type="list" allowBlank="1" showInputMessage="1" showErrorMessage="1" sqref="K7 L14" xr:uid="{AECC9D16-1701-443D-9F11-AE8FEA1D29D8}">
      <formula1>$A$2:$A$11</formula1>
    </dataValidation>
  </dataValidations>
  <pageMargins left="1" right="1" top="1" bottom="1" header="0.5" footer="0.5"/>
  <pageSetup paperSize="8" fitToWidth="0"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A248C-0EF4-4E3B-94A1-36D15C6F0FDA}">
  <dimension ref="A1:T31"/>
  <sheetViews>
    <sheetView workbookViewId="0">
      <selection activeCell="G22" sqref="G22"/>
    </sheetView>
  </sheetViews>
  <sheetFormatPr defaultRowHeight="15" x14ac:dyDescent="0.25"/>
  <cols>
    <col min="1" max="1" width="15.7109375" bestFit="1" customWidth="1"/>
    <col min="2" max="2" width="11.140625" bestFit="1" customWidth="1"/>
    <col min="3" max="3" width="13.140625" bestFit="1" customWidth="1"/>
    <col min="4" max="4" width="12" bestFit="1" customWidth="1"/>
    <col min="6" max="6" width="10.85546875" bestFit="1" customWidth="1"/>
    <col min="8" max="8" width="13.140625" bestFit="1" customWidth="1"/>
    <col min="9" max="9" width="16.140625" bestFit="1" customWidth="1"/>
    <col min="10" max="10" width="12" bestFit="1" customWidth="1"/>
    <col min="12" max="12" width="13.140625" bestFit="1" customWidth="1"/>
    <col min="13" max="13" width="16.140625" bestFit="1" customWidth="1"/>
    <col min="14" max="14" width="12" bestFit="1" customWidth="1"/>
    <col min="16" max="16" width="11.140625" bestFit="1" customWidth="1"/>
    <col min="20" max="20" width="14.42578125" bestFit="1" customWidth="1"/>
  </cols>
  <sheetData>
    <row r="1" spans="1:20" x14ac:dyDescent="0.25">
      <c r="A1" s="47" t="s">
        <v>225</v>
      </c>
      <c r="B1" s="47" t="s">
        <v>300</v>
      </c>
      <c r="C1" s="47" t="s">
        <v>301</v>
      </c>
      <c r="D1" s="47" t="s">
        <v>302</v>
      </c>
      <c r="E1" s="47" t="s">
        <v>303</v>
      </c>
      <c r="F1" s="47" t="s">
        <v>227</v>
      </c>
      <c r="G1" s="47" t="s">
        <v>304</v>
      </c>
      <c r="I1" s="47" t="s">
        <v>226</v>
      </c>
      <c r="J1" s="47" t="s">
        <v>305</v>
      </c>
      <c r="M1" s="48" t="s">
        <v>306</v>
      </c>
      <c r="N1" s="48" t="s">
        <v>307</v>
      </c>
      <c r="P1" s="48" t="s">
        <v>300</v>
      </c>
      <c r="Q1" s="48" t="s">
        <v>308</v>
      </c>
      <c r="S1" s="48" t="s">
        <v>313</v>
      </c>
      <c r="T1" s="48" t="s">
        <v>314</v>
      </c>
    </row>
    <row r="2" spans="1:20" x14ac:dyDescent="0.25">
      <c r="A2" s="22" t="s">
        <v>243</v>
      </c>
      <c r="B2" s="22" t="s">
        <v>278</v>
      </c>
      <c r="C2" s="22" t="s">
        <v>279</v>
      </c>
      <c r="D2" s="22" t="s">
        <v>224</v>
      </c>
      <c r="E2" s="22">
        <v>75000</v>
      </c>
      <c r="F2" s="33">
        <v>45296</v>
      </c>
      <c r="G2" s="22">
        <v>2</v>
      </c>
      <c r="H2">
        <f>E2*G2</f>
        <v>150000</v>
      </c>
      <c r="I2" s="22" t="s">
        <v>286</v>
      </c>
      <c r="J2" s="22">
        <v>7</v>
      </c>
      <c r="M2" s="22" t="s">
        <v>243</v>
      </c>
      <c r="N2" s="22">
        <v>78500</v>
      </c>
      <c r="P2" s="22" t="s">
        <v>278</v>
      </c>
      <c r="Q2" s="22">
        <v>414500</v>
      </c>
      <c r="S2" s="22" t="s">
        <v>309</v>
      </c>
      <c r="T2" s="22">
        <v>84000</v>
      </c>
    </row>
    <row r="3" spans="1:20" x14ac:dyDescent="0.25">
      <c r="A3" s="22" t="s">
        <v>243</v>
      </c>
      <c r="B3" s="22" t="s">
        <v>278</v>
      </c>
      <c r="C3" s="22" t="s">
        <v>280</v>
      </c>
      <c r="D3" s="22" t="s">
        <v>224</v>
      </c>
      <c r="E3" s="22">
        <v>3500</v>
      </c>
      <c r="F3" s="33">
        <v>45296</v>
      </c>
      <c r="G3" s="22">
        <v>1</v>
      </c>
      <c r="H3">
        <f t="shared" ref="H3:H21" si="0">E3*G3</f>
        <v>3500</v>
      </c>
      <c r="I3" s="22" t="s">
        <v>284</v>
      </c>
      <c r="J3" s="22">
        <v>6</v>
      </c>
      <c r="M3" s="22" t="s">
        <v>251</v>
      </c>
      <c r="N3" s="22">
        <v>75000</v>
      </c>
      <c r="P3" s="22" t="s">
        <v>296</v>
      </c>
      <c r="Q3" s="22">
        <v>120000</v>
      </c>
      <c r="S3" s="22" t="s">
        <v>310</v>
      </c>
      <c r="T3" s="22">
        <v>357000</v>
      </c>
    </row>
    <row r="4" spans="1:20" x14ac:dyDescent="0.25">
      <c r="A4" s="22" t="s">
        <v>245</v>
      </c>
      <c r="B4" s="22" t="s">
        <v>278</v>
      </c>
      <c r="C4" s="22" t="s">
        <v>281</v>
      </c>
      <c r="D4" s="22" t="s">
        <v>224</v>
      </c>
      <c r="E4" s="22">
        <v>45000</v>
      </c>
      <c r="F4" s="33">
        <v>45299</v>
      </c>
      <c r="G4" s="22">
        <v>4</v>
      </c>
      <c r="H4">
        <f t="shared" si="0"/>
        <v>180000</v>
      </c>
      <c r="I4" s="22" t="s">
        <v>281</v>
      </c>
      <c r="J4" s="22">
        <v>6</v>
      </c>
      <c r="M4" s="22" t="s">
        <v>295</v>
      </c>
      <c r="N4" s="22">
        <v>65000</v>
      </c>
      <c r="P4" s="22" t="s">
        <v>293</v>
      </c>
      <c r="Q4" s="22">
        <v>24000</v>
      </c>
      <c r="S4" s="22" t="s">
        <v>311</v>
      </c>
      <c r="T4" s="22">
        <v>418500</v>
      </c>
    </row>
    <row r="5" spans="1:20" x14ac:dyDescent="0.25">
      <c r="A5" s="22" t="s">
        <v>245</v>
      </c>
      <c r="B5" s="22" t="s">
        <v>278</v>
      </c>
      <c r="C5" s="22" t="s">
        <v>282</v>
      </c>
      <c r="D5" s="22" t="s">
        <v>224</v>
      </c>
      <c r="E5" s="22">
        <v>8000</v>
      </c>
      <c r="F5" s="33">
        <v>45299</v>
      </c>
      <c r="G5" s="22">
        <v>2</v>
      </c>
      <c r="H5">
        <f t="shared" si="0"/>
        <v>16000</v>
      </c>
      <c r="I5" s="22" t="s">
        <v>280</v>
      </c>
      <c r="J5" s="22">
        <v>5</v>
      </c>
      <c r="M5" s="22" t="s">
        <v>114</v>
      </c>
      <c r="N5" s="22">
        <v>65000</v>
      </c>
      <c r="P5" s="22" t="s">
        <v>299</v>
      </c>
      <c r="Q5" s="22">
        <v>7000</v>
      </c>
      <c r="S5" s="22" t="s">
        <v>312</v>
      </c>
      <c r="T5" s="22">
        <v>709000</v>
      </c>
    </row>
    <row r="6" spans="1:20" x14ac:dyDescent="0.25">
      <c r="A6" s="22" t="s">
        <v>246</v>
      </c>
      <c r="B6" s="22" t="s">
        <v>278</v>
      </c>
      <c r="C6" s="22" t="s">
        <v>283</v>
      </c>
      <c r="D6" s="22" t="s">
        <v>224</v>
      </c>
      <c r="E6" s="22">
        <v>12000</v>
      </c>
      <c r="F6" s="33">
        <v>45303</v>
      </c>
      <c r="G6" s="22">
        <v>1</v>
      </c>
      <c r="H6">
        <f t="shared" si="0"/>
        <v>12000</v>
      </c>
      <c r="I6" s="22" t="s">
        <v>287</v>
      </c>
      <c r="J6" s="22">
        <v>5</v>
      </c>
      <c r="M6" s="22" t="s">
        <v>297</v>
      </c>
      <c r="N6" s="22">
        <v>55000</v>
      </c>
      <c r="P6" s="22" t="s">
        <v>289</v>
      </c>
      <c r="Q6" s="22">
        <v>23500</v>
      </c>
    </row>
    <row r="7" spans="1:20" x14ac:dyDescent="0.25">
      <c r="A7" s="22" t="s">
        <v>236</v>
      </c>
      <c r="B7" s="22" t="s">
        <v>278</v>
      </c>
      <c r="C7" s="22" t="s">
        <v>284</v>
      </c>
      <c r="D7" s="22" t="s">
        <v>223</v>
      </c>
      <c r="E7" s="22">
        <v>9000</v>
      </c>
      <c r="F7" s="33">
        <v>45306</v>
      </c>
      <c r="G7" s="22">
        <v>3</v>
      </c>
      <c r="H7">
        <f t="shared" si="0"/>
        <v>27000</v>
      </c>
    </row>
    <row r="8" spans="1:20" x14ac:dyDescent="0.25">
      <c r="A8" s="22" t="s">
        <v>93</v>
      </c>
      <c r="B8" s="22" t="s">
        <v>278</v>
      </c>
      <c r="C8" s="22" t="s">
        <v>285</v>
      </c>
      <c r="D8" s="22" t="s">
        <v>223</v>
      </c>
      <c r="E8" s="22">
        <v>15000</v>
      </c>
      <c r="F8" s="33">
        <v>45309</v>
      </c>
      <c r="G8" s="22">
        <v>2</v>
      </c>
      <c r="H8">
        <f t="shared" si="0"/>
        <v>30000</v>
      </c>
    </row>
    <row r="9" spans="1:20" x14ac:dyDescent="0.25">
      <c r="A9" s="22" t="s">
        <v>114</v>
      </c>
      <c r="B9" s="22" t="s">
        <v>278</v>
      </c>
      <c r="C9" s="22" t="s">
        <v>286</v>
      </c>
      <c r="D9" s="22" t="s">
        <v>223</v>
      </c>
      <c r="E9" s="22">
        <v>65000</v>
      </c>
      <c r="F9" s="33">
        <v>45324</v>
      </c>
      <c r="G9" s="22">
        <v>5</v>
      </c>
      <c r="H9">
        <f t="shared" si="0"/>
        <v>325000</v>
      </c>
    </row>
    <row r="10" spans="1:20" x14ac:dyDescent="0.25">
      <c r="A10" s="22" t="s">
        <v>92</v>
      </c>
      <c r="B10" s="22" t="s">
        <v>278</v>
      </c>
      <c r="C10" s="22" t="s">
        <v>287</v>
      </c>
      <c r="D10" s="22" t="s">
        <v>223</v>
      </c>
      <c r="E10" s="22">
        <v>55000</v>
      </c>
      <c r="F10" s="33">
        <v>45328</v>
      </c>
      <c r="G10" s="22">
        <v>1</v>
      </c>
      <c r="H10">
        <f t="shared" si="0"/>
        <v>55000</v>
      </c>
    </row>
    <row r="11" spans="1:20" x14ac:dyDescent="0.25">
      <c r="A11" s="22" t="s">
        <v>253</v>
      </c>
      <c r="B11" s="22" t="s">
        <v>278</v>
      </c>
      <c r="C11" s="22" t="s">
        <v>288</v>
      </c>
      <c r="D11" s="22" t="s">
        <v>223</v>
      </c>
      <c r="E11" s="22">
        <v>7000</v>
      </c>
      <c r="F11" s="33">
        <v>45332</v>
      </c>
      <c r="G11" s="22">
        <v>2</v>
      </c>
      <c r="H11">
        <f t="shared" si="0"/>
        <v>14000</v>
      </c>
    </row>
    <row r="12" spans="1:20" x14ac:dyDescent="0.25">
      <c r="A12" s="22" t="s">
        <v>251</v>
      </c>
      <c r="B12" s="22" t="s">
        <v>278</v>
      </c>
      <c r="C12" s="22" t="s">
        <v>279</v>
      </c>
      <c r="D12" s="22" t="s">
        <v>224</v>
      </c>
      <c r="E12" s="22">
        <v>75000</v>
      </c>
      <c r="F12" s="33">
        <v>45336</v>
      </c>
      <c r="G12" s="22">
        <v>3</v>
      </c>
      <c r="H12">
        <f t="shared" si="0"/>
        <v>225000</v>
      </c>
    </row>
    <row r="13" spans="1:20" x14ac:dyDescent="0.25">
      <c r="A13" s="22" t="s">
        <v>249</v>
      </c>
      <c r="B13" s="22" t="s">
        <v>278</v>
      </c>
      <c r="C13" s="22" t="s">
        <v>281</v>
      </c>
      <c r="D13" s="22" t="s">
        <v>224</v>
      </c>
      <c r="E13" s="22">
        <v>45000</v>
      </c>
      <c r="F13" s="33">
        <v>45340</v>
      </c>
      <c r="G13" s="22">
        <v>2</v>
      </c>
      <c r="H13">
        <f t="shared" si="0"/>
        <v>90000</v>
      </c>
    </row>
    <row r="14" spans="1:20" x14ac:dyDescent="0.25">
      <c r="A14" s="22" t="s">
        <v>4</v>
      </c>
      <c r="B14" s="22" t="s">
        <v>289</v>
      </c>
      <c r="C14" s="22" t="s">
        <v>280</v>
      </c>
      <c r="D14" s="22" t="s">
        <v>224</v>
      </c>
      <c r="E14" s="22">
        <v>3500</v>
      </c>
      <c r="F14" s="33">
        <v>45354</v>
      </c>
      <c r="G14" s="22">
        <v>4</v>
      </c>
      <c r="H14">
        <f t="shared" si="0"/>
        <v>14000</v>
      </c>
    </row>
    <row r="15" spans="1:20" x14ac:dyDescent="0.25">
      <c r="A15" s="22" t="s">
        <v>290</v>
      </c>
      <c r="B15" s="22" t="s">
        <v>289</v>
      </c>
      <c r="C15" s="22" t="s">
        <v>283</v>
      </c>
      <c r="D15" s="22" t="s">
        <v>224</v>
      </c>
      <c r="E15" s="22">
        <v>12000</v>
      </c>
      <c r="F15" s="33">
        <v>45358</v>
      </c>
      <c r="G15" s="22">
        <v>1</v>
      </c>
      <c r="H15">
        <f t="shared" si="0"/>
        <v>12000</v>
      </c>
      <c r="I15" s="32" t="s">
        <v>115</v>
      </c>
      <c r="J15" t="s">
        <v>316</v>
      </c>
      <c r="L15" s="32" t="s">
        <v>115</v>
      </c>
      <c r="M15" t="s">
        <v>315</v>
      </c>
      <c r="N15" t="s">
        <v>316</v>
      </c>
    </row>
    <row r="16" spans="1:20" x14ac:dyDescent="0.25">
      <c r="A16" s="22" t="s">
        <v>291</v>
      </c>
      <c r="B16" s="22" t="s">
        <v>289</v>
      </c>
      <c r="C16" s="22" t="s">
        <v>282</v>
      </c>
      <c r="D16" s="22" t="s">
        <v>224</v>
      </c>
      <c r="E16" s="22">
        <v>8000</v>
      </c>
      <c r="F16" s="33">
        <v>45363</v>
      </c>
      <c r="G16" s="22">
        <v>2</v>
      </c>
      <c r="H16">
        <f t="shared" si="0"/>
        <v>16000</v>
      </c>
      <c r="I16" s="31" t="s">
        <v>278</v>
      </c>
      <c r="J16">
        <v>414500</v>
      </c>
      <c r="L16" s="31" t="s">
        <v>144</v>
      </c>
      <c r="M16">
        <v>15</v>
      </c>
      <c r="N16">
        <v>167500</v>
      </c>
    </row>
    <row r="17" spans="1:14" x14ac:dyDescent="0.25">
      <c r="A17" s="22" t="s">
        <v>292</v>
      </c>
      <c r="B17" s="22" t="s">
        <v>293</v>
      </c>
      <c r="C17" s="22" t="s">
        <v>284</v>
      </c>
      <c r="D17" s="22" t="s">
        <v>223</v>
      </c>
      <c r="E17" s="22">
        <v>9000</v>
      </c>
      <c r="F17" s="33">
        <v>45367</v>
      </c>
      <c r="G17" s="22">
        <v>3</v>
      </c>
      <c r="H17">
        <f t="shared" si="0"/>
        <v>27000</v>
      </c>
      <c r="I17" s="31" t="s">
        <v>299</v>
      </c>
      <c r="J17">
        <v>7000</v>
      </c>
      <c r="L17" s="31" t="s">
        <v>145</v>
      </c>
      <c r="M17">
        <v>13</v>
      </c>
      <c r="N17">
        <v>247000</v>
      </c>
    </row>
    <row r="18" spans="1:14" x14ac:dyDescent="0.25">
      <c r="A18" s="22" t="s">
        <v>294</v>
      </c>
      <c r="B18" s="22" t="s">
        <v>293</v>
      </c>
      <c r="C18" s="22" t="s">
        <v>285</v>
      </c>
      <c r="D18" s="22" t="s">
        <v>223</v>
      </c>
      <c r="E18" s="22">
        <v>15000</v>
      </c>
      <c r="F18" s="33">
        <v>45371</v>
      </c>
      <c r="G18" s="22">
        <v>1</v>
      </c>
      <c r="H18">
        <f t="shared" si="0"/>
        <v>15000</v>
      </c>
      <c r="I18" s="31" t="s">
        <v>289</v>
      </c>
      <c r="J18">
        <v>23500</v>
      </c>
      <c r="L18" s="31" t="s">
        <v>146</v>
      </c>
      <c r="M18">
        <v>11</v>
      </c>
      <c r="N18">
        <v>47500</v>
      </c>
    </row>
    <row r="19" spans="1:14" x14ac:dyDescent="0.25">
      <c r="A19" s="22" t="s">
        <v>295</v>
      </c>
      <c r="B19" s="22" t="s">
        <v>296</v>
      </c>
      <c r="C19" s="22" t="s">
        <v>286</v>
      </c>
      <c r="D19" s="22" t="s">
        <v>223</v>
      </c>
      <c r="E19" s="22">
        <v>65000</v>
      </c>
      <c r="F19" s="33">
        <v>45386</v>
      </c>
      <c r="G19" s="22">
        <v>2</v>
      </c>
      <c r="H19">
        <f t="shared" si="0"/>
        <v>130000</v>
      </c>
      <c r="I19" s="31" t="s">
        <v>296</v>
      </c>
      <c r="J19">
        <v>120000</v>
      </c>
      <c r="L19" s="31" t="s">
        <v>147</v>
      </c>
      <c r="M19">
        <v>7</v>
      </c>
      <c r="N19">
        <v>127000</v>
      </c>
    </row>
    <row r="20" spans="1:14" x14ac:dyDescent="0.25">
      <c r="A20" s="22" t="s">
        <v>297</v>
      </c>
      <c r="B20" s="22" t="s">
        <v>296</v>
      </c>
      <c r="C20" s="22" t="s">
        <v>287</v>
      </c>
      <c r="D20" s="22" t="s">
        <v>223</v>
      </c>
      <c r="E20" s="22">
        <v>55000</v>
      </c>
      <c r="F20" s="33">
        <v>45390</v>
      </c>
      <c r="G20" s="22">
        <v>4</v>
      </c>
      <c r="H20">
        <f t="shared" si="0"/>
        <v>220000</v>
      </c>
      <c r="I20" s="31" t="s">
        <v>293</v>
      </c>
      <c r="J20">
        <v>24000</v>
      </c>
      <c r="L20" s="31" t="s">
        <v>116</v>
      </c>
      <c r="M20">
        <v>46</v>
      </c>
      <c r="N20">
        <v>589000</v>
      </c>
    </row>
    <row r="21" spans="1:14" x14ac:dyDescent="0.25">
      <c r="A21" s="22" t="s">
        <v>298</v>
      </c>
      <c r="B21" s="22" t="s">
        <v>299</v>
      </c>
      <c r="C21" s="22" t="s">
        <v>288</v>
      </c>
      <c r="D21" s="22" t="s">
        <v>223</v>
      </c>
      <c r="E21" s="22">
        <v>7000</v>
      </c>
      <c r="F21" s="33">
        <v>45394</v>
      </c>
      <c r="G21" s="22">
        <v>1</v>
      </c>
      <c r="H21">
        <f t="shared" si="0"/>
        <v>7000</v>
      </c>
      <c r="I21" s="31" t="s">
        <v>116</v>
      </c>
      <c r="J21">
        <v>589000</v>
      </c>
    </row>
    <row r="22" spans="1:14" x14ac:dyDescent="0.25">
      <c r="E22">
        <f>SUM(E2:E21)</f>
        <v>589000</v>
      </c>
      <c r="G22">
        <f>SUM(G2:G21)</f>
        <v>46</v>
      </c>
      <c r="H22">
        <f>SUM(H2:H21)</f>
        <v>1568500</v>
      </c>
    </row>
    <row r="23" spans="1:14" x14ac:dyDescent="0.25">
      <c r="C23" s="32" t="s">
        <v>115</v>
      </c>
      <c r="D23" t="s">
        <v>316</v>
      </c>
    </row>
    <row r="24" spans="1:14" x14ac:dyDescent="0.25">
      <c r="C24" s="31" t="s">
        <v>243</v>
      </c>
      <c r="D24">
        <v>78500</v>
      </c>
    </row>
    <row r="25" spans="1:14" x14ac:dyDescent="0.25">
      <c r="C25" s="31" t="s">
        <v>251</v>
      </c>
      <c r="D25">
        <v>75000</v>
      </c>
      <c r="H25" s="32" t="s">
        <v>115</v>
      </c>
      <c r="I25" t="s">
        <v>315</v>
      </c>
    </row>
    <row r="26" spans="1:14" x14ac:dyDescent="0.25">
      <c r="C26" s="31" t="s">
        <v>114</v>
      </c>
      <c r="D26">
        <v>65000</v>
      </c>
      <c r="H26" s="31" t="s">
        <v>286</v>
      </c>
      <c r="I26">
        <v>7</v>
      </c>
    </row>
    <row r="27" spans="1:14" x14ac:dyDescent="0.25">
      <c r="C27" s="31" t="s">
        <v>295</v>
      </c>
      <c r="D27">
        <v>65000</v>
      </c>
      <c r="H27" s="31" t="s">
        <v>281</v>
      </c>
      <c r="I27">
        <v>6</v>
      </c>
    </row>
    <row r="28" spans="1:14" x14ac:dyDescent="0.25">
      <c r="C28" s="31" t="s">
        <v>297</v>
      </c>
      <c r="D28">
        <v>55000</v>
      </c>
      <c r="H28" s="31" t="s">
        <v>284</v>
      </c>
      <c r="I28">
        <v>6</v>
      </c>
    </row>
    <row r="29" spans="1:14" x14ac:dyDescent="0.25">
      <c r="C29" s="31" t="s">
        <v>116</v>
      </c>
      <c r="D29">
        <v>338500</v>
      </c>
      <c r="H29" s="31" t="s">
        <v>287</v>
      </c>
      <c r="I29">
        <v>5</v>
      </c>
    </row>
    <row r="30" spans="1:14" x14ac:dyDescent="0.25">
      <c r="H30" s="31" t="s">
        <v>280</v>
      </c>
      <c r="I30">
        <v>5</v>
      </c>
    </row>
    <row r="31" spans="1:14" x14ac:dyDescent="0.25">
      <c r="H31" s="31" t="s">
        <v>116</v>
      </c>
      <c r="I31">
        <v>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22B7F-9883-4EE1-ADA0-8C8341AB4D4A}">
  <dimension ref="A1"/>
  <sheetViews>
    <sheetView showGridLines="0" workbookViewId="0">
      <selection activeCell="O25" sqref="O25"/>
    </sheetView>
  </sheetViews>
  <sheetFormatPr defaultRowHeight="15" x14ac:dyDescent="0.25"/>
  <cols>
    <col min="1" max="16384" width="9.140625" style="4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A37C1-612E-4D63-B3D4-D80CE3E653B8}">
  <dimension ref="A1:N20"/>
  <sheetViews>
    <sheetView workbookViewId="0">
      <selection activeCell="D20" sqref="D20"/>
    </sheetView>
  </sheetViews>
  <sheetFormatPr defaultRowHeight="15" x14ac:dyDescent="0.25"/>
  <cols>
    <col min="1" max="1" width="13.140625" bestFit="1" customWidth="1"/>
    <col min="2" max="2" width="12.85546875" bestFit="1" customWidth="1"/>
    <col min="3" max="3" width="10.140625" bestFit="1" customWidth="1"/>
    <col min="4" max="4" width="15.85546875" bestFit="1" customWidth="1"/>
    <col min="5" max="5" width="16.28515625" bestFit="1" customWidth="1"/>
    <col min="6" max="6" width="9.7109375" bestFit="1" customWidth="1"/>
    <col min="7" max="7" width="11.28515625" bestFit="1" customWidth="1"/>
    <col min="8" max="9" width="13.140625" bestFit="1" customWidth="1"/>
    <col min="10" max="10" width="12.140625" bestFit="1" customWidth="1"/>
    <col min="11" max="11" width="15" bestFit="1" customWidth="1"/>
    <col min="12" max="12" width="12.85546875" bestFit="1" customWidth="1"/>
    <col min="13" max="13" width="12.140625" bestFit="1" customWidth="1"/>
    <col min="14" max="14" width="10.140625" bestFit="1" customWidth="1"/>
    <col min="15" max="16" width="8.7109375" bestFit="1" customWidth="1"/>
  </cols>
  <sheetData>
    <row r="1" spans="1:14" x14ac:dyDescent="0.25">
      <c r="A1" s="35" t="s">
        <v>84</v>
      </c>
      <c r="B1" s="35" t="s">
        <v>140</v>
      </c>
      <c r="C1" s="35" t="s">
        <v>141</v>
      </c>
      <c r="D1" s="35" t="s">
        <v>142</v>
      </c>
      <c r="E1" s="35" t="s">
        <v>2</v>
      </c>
      <c r="F1" s="35" t="s">
        <v>143</v>
      </c>
    </row>
    <row r="2" spans="1:14" x14ac:dyDescent="0.25">
      <c r="A2" s="22" t="s">
        <v>137</v>
      </c>
      <c r="B2" s="2" t="s">
        <v>127</v>
      </c>
      <c r="C2" s="33">
        <v>43337</v>
      </c>
      <c r="D2" s="22">
        <v>55000</v>
      </c>
      <c r="E2" s="33">
        <v>45658</v>
      </c>
      <c r="F2" s="22" t="s">
        <v>125</v>
      </c>
      <c r="G2" t="str">
        <f>IF(D2&gt;=40000,"Yes","No")</f>
        <v>Yes</v>
      </c>
    </row>
    <row r="3" spans="1:14" x14ac:dyDescent="0.25">
      <c r="A3" s="22" t="s">
        <v>129</v>
      </c>
      <c r="B3" s="2" t="s">
        <v>130</v>
      </c>
      <c r="C3" s="33">
        <v>44571</v>
      </c>
      <c r="D3" s="22">
        <v>50000</v>
      </c>
      <c r="E3" s="33">
        <v>45658</v>
      </c>
      <c r="F3" s="22" t="s">
        <v>125</v>
      </c>
      <c r="G3" t="str">
        <f t="shared" ref="G3:G11" si="0">IF(D3&gt;=40000,"Yes","No")</f>
        <v>Yes</v>
      </c>
    </row>
    <row r="4" spans="1:14" x14ac:dyDescent="0.25">
      <c r="A4" s="22" t="s">
        <v>133</v>
      </c>
      <c r="B4" s="2" t="s">
        <v>130</v>
      </c>
      <c r="C4" s="33">
        <v>45095</v>
      </c>
      <c r="D4" s="22">
        <v>48000</v>
      </c>
      <c r="E4" s="33">
        <v>45658</v>
      </c>
      <c r="F4" s="22" t="s">
        <v>125</v>
      </c>
      <c r="G4" t="str">
        <f t="shared" si="0"/>
        <v>Yes</v>
      </c>
    </row>
    <row r="5" spans="1:14" x14ac:dyDescent="0.25">
      <c r="A5" s="22" t="s">
        <v>126</v>
      </c>
      <c r="B5" s="2" t="s">
        <v>127</v>
      </c>
      <c r="C5" s="33">
        <v>44034</v>
      </c>
      <c r="D5" s="22">
        <v>42000</v>
      </c>
      <c r="E5" s="33">
        <v>45658</v>
      </c>
      <c r="F5" s="22" t="s">
        <v>128</v>
      </c>
      <c r="G5" t="str">
        <f t="shared" si="0"/>
        <v>Yes</v>
      </c>
      <c r="I5" s="54" t="s">
        <v>84</v>
      </c>
      <c r="J5" s="54" t="s">
        <v>140</v>
      </c>
      <c r="K5" s="54" t="s">
        <v>141</v>
      </c>
      <c r="L5" s="54" t="s">
        <v>142</v>
      </c>
      <c r="M5" s="54" t="s">
        <v>2</v>
      </c>
      <c r="N5" s="54" t="s">
        <v>143</v>
      </c>
    </row>
    <row r="6" spans="1:14" x14ac:dyDescent="0.25">
      <c r="A6" s="22" t="s">
        <v>138</v>
      </c>
      <c r="B6" s="2" t="s">
        <v>132</v>
      </c>
      <c r="C6" s="33">
        <v>44896</v>
      </c>
      <c r="D6" s="22">
        <v>40000</v>
      </c>
      <c r="E6" s="33">
        <v>45658</v>
      </c>
      <c r="F6" s="22" t="s">
        <v>128</v>
      </c>
      <c r="G6" t="str">
        <f t="shared" si="0"/>
        <v>Yes</v>
      </c>
      <c r="I6" s="22" t="s">
        <v>126</v>
      </c>
      <c r="J6" s="22" t="str">
        <f>VLOOKUP($I$6,$A$1:$F$11,MATCH(B1,$A$1:$F$1,0),0)</f>
        <v>Finance</v>
      </c>
      <c r="K6" s="33">
        <f t="shared" ref="K6:N6" si="1">VLOOKUP($I$6,$A$1:$F$11,MATCH(C1,$A$1:$F$1,0),0)</f>
        <v>44034</v>
      </c>
      <c r="L6" s="22">
        <f t="shared" si="1"/>
        <v>42000</v>
      </c>
      <c r="M6" s="33">
        <f t="shared" si="1"/>
        <v>45658</v>
      </c>
      <c r="N6" s="22" t="str">
        <f t="shared" si="1"/>
        <v>Absent</v>
      </c>
    </row>
    <row r="7" spans="1:14" x14ac:dyDescent="0.25">
      <c r="A7" s="22" t="s">
        <v>131</v>
      </c>
      <c r="B7" s="2" t="s">
        <v>132</v>
      </c>
      <c r="C7" s="33">
        <v>43774</v>
      </c>
      <c r="D7" s="22">
        <v>38000</v>
      </c>
      <c r="E7" s="33">
        <v>45658</v>
      </c>
      <c r="F7" s="22" t="s">
        <v>125</v>
      </c>
      <c r="G7" t="str">
        <f t="shared" si="0"/>
        <v>No</v>
      </c>
    </row>
    <row r="8" spans="1:14" x14ac:dyDescent="0.25">
      <c r="A8" s="22" t="s">
        <v>139</v>
      </c>
      <c r="B8" s="2" t="s">
        <v>135</v>
      </c>
      <c r="C8" s="33">
        <v>45036</v>
      </c>
      <c r="D8" s="22">
        <v>37000</v>
      </c>
      <c r="E8" s="33">
        <v>45658</v>
      </c>
      <c r="F8" s="22" t="s">
        <v>125</v>
      </c>
      <c r="G8" t="str">
        <f t="shared" si="0"/>
        <v>No</v>
      </c>
    </row>
    <row r="9" spans="1:14" x14ac:dyDescent="0.25">
      <c r="A9" s="22" t="s">
        <v>134</v>
      </c>
      <c r="B9" s="2" t="s">
        <v>135</v>
      </c>
      <c r="C9" s="33">
        <v>44469</v>
      </c>
      <c r="D9" s="22">
        <v>36000</v>
      </c>
      <c r="E9" s="33">
        <v>45658</v>
      </c>
      <c r="F9" s="22" t="s">
        <v>128</v>
      </c>
      <c r="G9" t="str">
        <f t="shared" si="0"/>
        <v>No</v>
      </c>
    </row>
    <row r="10" spans="1:14" x14ac:dyDescent="0.25">
      <c r="A10" s="22" t="s">
        <v>123</v>
      </c>
      <c r="B10" s="2" t="s">
        <v>124</v>
      </c>
      <c r="C10" s="33">
        <v>44270</v>
      </c>
      <c r="D10" s="22">
        <v>35000</v>
      </c>
      <c r="E10" s="33">
        <v>45658</v>
      </c>
      <c r="F10" s="22" t="s">
        <v>125</v>
      </c>
      <c r="G10" t="str">
        <f t="shared" si="0"/>
        <v>No</v>
      </c>
    </row>
    <row r="11" spans="1:14" x14ac:dyDescent="0.25">
      <c r="A11" s="22" t="s">
        <v>136</v>
      </c>
      <c r="B11" s="2" t="s">
        <v>124</v>
      </c>
      <c r="C11" s="33">
        <v>43875</v>
      </c>
      <c r="D11" s="22">
        <v>34000</v>
      </c>
      <c r="E11" s="33">
        <v>45658</v>
      </c>
      <c r="F11" s="22" t="s">
        <v>125</v>
      </c>
      <c r="G11" t="str">
        <f t="shared" si="0"/>
        <v>No</v>
      </c>
    </row>
    <row r="15" spans="1:14" x14ac:dyDescent="0.25">
      <c r="H15" s="35" t="s">
        <v>84</v>
      </c>
      <c r="I15" t="s">
        <v>133</v>
      </c>
    </row>
    <row r="16" spans="1:14" x14ac:dyDescent="0.25">
      <c r="H16" s="35" t="s">
        <v>140</v>
      </c>
      <c r="I16" t="str">
        <f>INDEX($A$1:$F$11,MATCH($I$15,$A$1:$A$11,0),MATCH(H16,$A$1:$F$1,0))</f>
        <v>IT</v>
      </c>
    </row>
    <row r="17" spans="4:9" x14ac:dyDescent="0.25">
      <c r="H17" s="35" t="s">
        <v>141</v>
      </c>
      <c r="I17">
        <f t="shared" ref="I17:I20" si="2">INDEX($A$1:$F$11,MATCH($I$15,$A$1:$A$11,0),MATCH(H17,$A$1:$F$1,0))</f>
        <v>45095</v>
      </c>
    </row>
    <row r="18" spans="4:9" x14ac:dyDescent="0.25">
      <c r="H18" s="35" t="s">
        <v>142</v>
      </c>
      <c r="I18">
        <f t="shared" si="2"/>
        <v>48000</v>
      </c>
    </row>
    <row r="19" spans="4:9" x14ac:dyDescent="0.25">
      <c r="D19">
        <f>SUMIF(B2:B11,"Marketing",D2:D11)</f>
        <v>78000</v>
      </c>
      <c r="H19" s="35" t="s">
        <v>2</v>
      </c>
      <c r="I19">
        <f t="shared" si="2"/>
        <v>45658</v>
      </c>
    </row>
    <row r="20" spans="4:9" x14ac:dyDescent="0.25">
      <c r="H20" s="35" t="s">
        <v>143</v>
      </c>
      <c r="I20" t="str">
        <f t="shared" si="2"/>
        <v>Present</v>
      </c>
    </row>
  </sheetData>
  <dataValidations count="1">
    <dataValidation type="list" allowBlank="1" showInputMessage="1" showErrorMessage="1" sqref="I6 I15" xr:uid="{C5647EC5-D52C-4AB1-924B-6E075869F527}">
      <formula1>$A$2:$A$11</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CBCA0-46E4-4813-9BA3-49DF42915DED}">
  <dimension ref="A1"/>
  <sheetViews>
    <sheetView showGridLines="0" workbookViewId="0">
      <selection activeCell="O42" sqref="O42"/>
    </sheetView>
  </sheetViews>
  <sheetFormatPr defaultRowHeight="15" x14ac:dyDescent="0.25"/>
  <cols>
    <col min="1" max="16384" width="9.140625" style="3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C1928-4C9C-44C9-AD09-D14F1FB4FAE9}">
  <dimension ref="A1:N48"/>
  <sheetViews>
    <sheetView workbookViewId="0">
      <selection activeCell="M6" sqref="M6"/>
    </sheetView>
  </sheetViews>
  <sheetFormatPr defaultRowHeight="15" x14ac:dyDescent="0.25"/>
  <cols>
    <col min="1" max="1" width="13.140625" bestFit="1" customWidth="1"/>
    <col min="2" max="2" width="27.85546875" bestFit="1" customWidth="1"/>
    <col min="5" max="5" width="13.140625" bestFit="1" customWidth="1"/>
    <col min="6" max="6" width="15.140625" bestFit="1" customWidth="1"/>
    <col min="7" max="7" width="12.28515625" bestFit="1" customWidth="1"/>
    <col min="9" max="9" width="13.140625" bestFit="1" customWidth="1"/>
    <col min="10" max="10" width="17" bestFit="1" customWidth="1"/>
    <col min="12" max="12" width="13.140625" bestFit="1" customWidth="1"/>
    <col min="13" max="13" width="18.28515625" bestFit="1" customWidth="1"/>
    <col min="14" max="14" width="19.5703125" bestFit="1" customWidth="1"/>
  </cols>
  <sheetData>
    <row r="1" spans="1:14" ht="15.75" x14ac:dyDescent="0.25">
      <c r="A1" s="50" t="s">
        <v>207</v>
      </c>
      <c r="B1" s="50" t="s">
        <v>322</v>
      </c>
      <c r="C1" s="50" t="s">
        <v>263</v>
      </c>
      <c r="D1" s="52" t="s">
        <v>207</v>
      </c>
      <c r="E1" s="52" t="s">
        <v>323</v>
      </c>
      <c r="F1" s="52" t="s">
        <v>262</v>
      </c>
      <c r="G1" s="53" t="s">
        <v>324</v>
      </c>
      <c r="H1" s="52" t="s">
        <v>207</v>
      </c>
      <c r="I1" s="52" t="s">
        <v>264</v>
      </c>
      <c r="J1" s="52" t="s">
        <v>325</v>
      </c>
      <c r="K1" s="52" t="s">
        <v>327</v>
      </c>
      <c r="L1" s="52" t="s">
        <v>328</v>
      </c>
    </row>
    <row r="2" spans="1:14" x14ac:dyDescent="0.25">
      <c r="A2" s="22" t="s">
        <v>93</v>
      </c>
      <c r="B2" s="22" t="s">
        <v>317</v>
      </c>
      <c r="C2" s="22">
        <v>85</v>
      </c>
      <c r="D2" s="22" t="s">
        <v>249</v>
      </c>
      <c r="E2" s="22">
        <v>277</v>
      </c>
      <c r="F2" s="22" t="s">
        <v>317</v>
      </c>
      <c r="G2" s="51">
        <v>77.9375</v>
      </c>
      <c r="H2" s="22" t="s">
        <v>249</v>
      </c>
      <c r="I2" s="22">
        <v>277</v>
      </c>
      <c r="J2" s="22">
        <v>1</v>
      </c>
      <c r="K2" s="22" t="s">
        <v>326</v>
      </c>
      <c r="L2" s="22">
        <v>100</v>
      </c>
    </row>
    <row r="3" spans="1:14" x14ac:dyDescent="0.25">
      <c r="A3" s="22" t="s">
        <v>93</v>
      </c>
      <c r="B3" s="22" t="s">
        <v>230</v>
      </c>
      <c r="C3" s="22">
        <v>78</v>
      </c>
      <c r="D3" s="22" t="s">
        <v>255</v>
      </c>
      <c r="E3" s="22">
        <v>276</v>
      </c>
      <c r="F3" s="22" t="s">
        <v>230</v>
      </c>
      <c r="G3" s="51">
        <v>78.9375</v>
      </c>
      <c r="H3" s="22" t="s">
        <v>255</v>
      </c>
      <c r="I3" s="22">
        <v>276</v>
      </c>
      <c r="J3" s="22">
        <v>2</v>
      </c>
    </row>
    <row r="4" spans="1:14" x14ac:dyDescent="0.25">
      <c r="A4" s="22" t="s">
        <v>93</v>
      </c>
      <c r="B4" s="22" t="s">
        <v>228</v>
      </c>
      <c r="C4" s="22">
        <v>92</v>
      </c>
      <c r="D4" s="22" t="s">
        <v>253</v>
      </c>
      <c r="E4" s="22">
        <v>272</v>
      </c>
      <c r="F4" s="22" t="s">
        <v>228</v>
      </c>
      <c r="G4" s="51">
        <v>84.4</v>
      </c>
      <c r="H4" s="22" t="s">
        <v>253</v>
      </c>
      <c r="I4" s="22">
        <v>272</v>
      </c>
      <c r="J4" s="22">
        <v>3</v>
      </c>
      <c r="M4" s="32" t="s">
        <v>115</v>
      </c>
      <c r="N4" t="s">
        <v>329</v>
      </c>
    </row>
    <row r="5" spans="1:14" x14ac:dyDescent="0.25">
      <c r="A5" s="22" t="s">
        <v>92</v>
      </c>
      <c r="B5" s="22" t="s">
        <v>317</v>
      </c>
      <c r="C5" s="22">
        <v>74</v>
      </c>
      <c r="H5" s="22" t="s">
        <v>257</v>
      </c>
      <c r="I5" s="22">
        <v>265</v>
      </c>
      <c r="J5" s="22">
        <v>4</v>
      </c>
      <c r="M5" s="31" t="s">
        <v>253</v>
      </c>
      <c r="N5">
        <v>272</v>
      </c>
    </row>
    <row r="6" spans="1:14" x14ac:dyDescent="0.25">
      <c r="A6" s="22" t="s">
        <v>92</v>
      </c>
      <c r="B6" s="22" t="s">
        <v>230</v>
      </c>
      <c r="C6" s="22">
        <v>69</v>
      </c>
      <c r="H6" s="22" t="s">
        <v>93</v>
      </c>
      <c r="I6" s="22">
        <v>255</v>
      </c>
      <c r="J6" s="22">
        <v>5</v>
      </c>
      <c r="M6" s="31" t="s">
        <v>249</v>
      </c>
      <c r="N6">
        <v>277</v>
      </c>
    </row>
    <row r="7" spans="1:14" x14ac:dyDescent="0.25">
      <c r="A7" s="22" t="s">
        <v>92</v>
      </c>
      <c r="B7" s="22" t="s">
        <v>228</v>
      </c>
      <c r="C7" s="22">
        <v>81</v>
      </c>
      <c r="H7" s="22" t="s">
        <v>319</v>
      </c>
      <c r="I7" s="22">
        <v>255</v>
      </c>
      <c r="J7" s="22">
        <v>5</v>
      </c>
      <c r="M7" s="31" t="s">
        <v>255</v>
      </c>
      <c r="N7">
        <v>276</v>
      </c>
    </row>
    <row r="8" spans="1:14" x14ac:dyDescent="0.25">
      <c r="A8" s="22" t="s">
        <v>253</v>
      </c>
      <c r="B8" s="22" t="s">
        <v>317</v>
      </c>
      <c r="C8" s="22">
        <v>88</v>
      </c>
      <c r="H8" s="22" t="s">
        <v>114</v>
      </c>
      <c r="I8" s="22">
        <v>255</v>
      </c>
      <c r="J8" s="22">
        <v>5</v>
      </c>
      <c r="M8" s="31" t="s">
        <v>272</v>
      </c>
    </row>
    <row r="9" spans="1:14" x14ac:dyDescent="0.25">
      <c r="A9" s="22" t="s">
        <v>253</v>
      </c>
      <c r="B9" s="22" t="s">
        <v>230</v>
      </c>
      <c r="C9" s="22">
        <v>90</v>
      </c>
      <c r="H9" s="22" t="s">
        <v>320</v>
      </c>
      <c r="I9" s="22">
        <v>244</v>
      </c>
      <c r="J9" s="22">
        <v>8</v>
      </c>
      <c r="M9" s="31" t="s">
        <v>116</v>
      </c>
      <c r="N9">
        <v>825</v>
      </c>
    </row>
    <row r="10" spans="1:14" x14ac:dyDescent="0.25">
      <c r="A10" s="22" t="s">
        <v>253</v>
      </c>
      <c r="B10" s="22" t="s">
        <v>228</v>
      </c>
      <c r="C10" s="22">
        <v>94</v>
      </c>
      <c r="H10" s="22" t="s">
        <v>229</v>
      </c>
      <c r="I10" s="22">
        <v>241</v>
      </c>
      <c r="J10" s="22">
        <v>9</v>
      </c>
    </row>
    <row r="11" spans="1:14" x14ac:dyDescent="0.25">
      <c r="A11" s="22" t="s">
        <v>251</v>
      </c>
      <c r="B11" s="22" t="s">
        <v>317</v>
      </c>
      <c r="C11" s="22">
        <v>65</v>
      </c>
      <c r="H11" s="22" t="s">
        <v>1</v>
      </c>
      <c r="I11" s="22">
        <v>225</v>
      </c>
      <c r="J11" s="22">
        <v>10</v>
      </c>
    </row>
    <row r="12" spans="1:14" x14ac:dyDescent="0.25">
      <c r="A12" s="22" t="s">
        <v>251</v>
      </c>
      <c r="B12" s="22" t="s">
        <v>230</v>
      </c>
      <c r="C12" s="22">
        <v>70</v>
      </c>
      <c r="H12" s="22" t="s">
        <v>92</v>
      </c>
      <c r="I12" s="22">
        <v>224</v>
      </c>
      <c r="J12" s="22">
        <v>11</v>
      </c>
    </row>
    <row r="13" spans="1:14" x14ac:dyDescent="0.25">
      <c r="A13" s="22" t="s">
        <v>251</v>
      </c>
      <c r="B13" s="22" t="s">
        <v>228</v>
      </c>
      <c r="C13" s="22">
        <v>76</v>
      </c>
      <c r="H13" s="22" t="s">
        <v>318</v>
      </c>
      <c r="I13" s="22">
        <v>216</v>
      </c>
      <c r="J13" s="22">
        <v>12</v>
      </c>
    </row>
    <row r="14" spans="1:14" x14ac:dyDescent="0.25">
      <c r="A14" s="22" t="s">
        <v>114</v>
      </c>
      <c r="B14" s="22" t="s">
        <v>317</v>
      </c>
      <c r="C14" s="22">
        <v>82</v>
      </c>
      <c r="H14" s="22" t="s">
        <v>246</v>
      </c>
      <c r="I14" s="22">
        <v>212</v>
      </c>
      <c r="J14" s="22">
        <v>13</v>
      </c>
    </row>
    <row r="15" spans="1:14" x14ac:dyDescent="0.25">
      <c r="A15" s="22" t="s">
        <v>114</v>
      </c>
      <c r="B15" s="22" t="s">
        <v>230</v>
      </c>
      <c r="C15" s="22">
        <v>85</v>
      </c>
      <c r="H15" s="22" t="s">
        <v>251</v>
      </c>
      <c r="I15" s="22">
        <v>211</v>
      </c>
      <c r="J15" s="22">
        <v>14</v>
      </c>
    </row>
    <row r="16" spans="1:14" x14ac:dyDescent="0.25">
      <c r="A16" s="22" t="s">
        <v>114</v>
      </c>
      <c r="B16" s="22" t="s">
        <v>228</v>
      </c>
      <c r="C16" s="22">
        <v>88</v>
      </c>
      <c r="H16" s="22" t="s">
        <v>247</v>
      </c>
      <c r="I16" s="22">
        <v>210</v>
      </c>
      <c r="J16" s="22">
        <v>15</v>
      </c>
    </row>
    <row r="17" spans="1:14" x14ac:dyDescent="0.25">
      <c r="A17" s="22" t="s">
        <v>246</v>
      </c>
      <c r="B17" s="22" t="s">
        <v>317</v>
      </c>
      <c r="C17" s="22">
        <v>71</v>
      </c>
      <c r="H17" s="22" t="s">
        <v>321</v>
      </c>
      <c r="I17" s="22">
        <v>138</v>
      </c>
      <c r="J17" s="22">
        <v>16</v>
      </c>
    </row>
    <row r="18" spans="1:14" x14ac:dyDescent="0.25">
      <c r="A18" s="22" t="s">
        <v>246</v>
      </c>
      <c r="B18" s="22" t="s">
        <v>230</v>
      </c>
      <c r="C18" s="22">
        <v>68</v>
      </c>
    </row>
    <row r="19" spans="1:14" x14ac:dyDescent="0.25">
      <c r="A19" s="22" t="s">
        <v>246</v>
      </c>
      <c r="B19" s="22" t="s">
        <v>228</v>
      </c>
      <c r="C19" s="22">
        <v>73</v>
      </c>
    </row>
    <row r="20" spans="1:14" x14ac:dyDescent="0.25">
      <c r="A20" s="22" t="s">
        <v>249</v>
      </c>
      <c r="B20" s="22" t="s">
        <v>317</v>
      </c>
      <c r="C20" s="22">
        <v>90</v>
      </c>
    </row>
    <row r="21" spans="1:14" x14ac:dyDescent="0.25">
      <c r="A21" s="22" t="s">
        <v>249</v>
      </c>
      <c r="B21" s="22" t="s">
        <v>230</v>
      </c>
      <c r="C21" s="22">
        <v>92</v>
      </c>
    </row>
    <row r="22" spans="1:14" x14ac:dyDescent="0.25">
      <c r="A22" s="22" t="s">
        <v>249</v>
      </c>
      <c r="B22" s="22" t="s">
        <v>228</v>
      </c>
      <c r="C22" s="22">
        <v>95</v>
      </c>
      <c r="L22" s="32" t="s">
        <v>115</v>
      </c>
      <c r="M22" t="s">
        <v>331</v>
      </c>
      <c r="N22" t="s">
        <v>332</v>
      </c>
    </row>
    <row r="23" spans="1:14" x14ac:dyDescent="0.25">
      <c r="A23" s="22" t="s">
        <v>229</v>
      </c>
      <c r="B23" s="22" t="s">
        <v>317</v>
      </c>
      <c r="C23" s="22">
        <v>77</v>
      </c>
      <c r="I23" s="32" t="s">
        <v>115</v>
      </c>
      <c r="J23" t="s">
        <v>330</v>
      </c>
      <c r="L23" s="31" t="s">
        <v>318</v>
      </c>
      <c r="M23">
        <v>216</v>
      </c>
      <c r="N23">
        <v>12</v>
      </c>
    </row>
    <row r="24" spans="1:14" x14ac:dyDescent="0.25">
      <c r="A24" s="22" t="s">
        <v>229</v>
      </c>
      <c r="B24" s="22" t="s">
        <v>230</v>
      </c>
      <c r="C24" s="22">
        <v>80</v>
      </c>
      <c r="I24" s="31" t="s">
        <v>317</v>
      </c>
      <c r="J24">
        <v>77.9375</v>
      </c>
      <c r="L24" s="31" t="s">
        <v>253</v>
      </c>
      <c r="M24">
        <v>272</v>
      </c>
      <c r="N24">
        <v>3</v>
      </c>
    </row>
    <row r="25" spans="1:14" x14ac:dyDescent="0.25">
      <c r="A25" s="22" t="s">
        <v>229</v>
      </c>
      <c r="B25" s="22" t="s">
        <v>228</v>
      </c>
      <c r="C25" s="22">
        <v>84</v>
      </c>
      <c r="I25" s="31" t="s">
        <v>230</v>
      </c>
      <c r="J25">
        <v>78.9375</v>
      </c>
      <c r="L25" s="31" t="s">
        <v>321</v>
      </c>
      <c r="M25">
        <v>138</v>
      </c>
      <c r="N25">
        <v>16</v>
      </c>
    </row>
    <row r="26" spans="1:14" x14ac:dyDescent="0.25">
      <c r="A26" s="22" t="s">
        <v>318</v>
      </c>
      <c r="B26" s="22" t="s">
        <v>317</v>
      </c>
      <c r="C26" s="22">
        <v>69</v>
      </c>
      <c r="I26" s="31" t="s">
        <v>228</v>
      </c>
      <c r="J26">
        <v>84.4</v>
      </c>
      <c r="L26" s="31" t="s">
        <v>246</v>
      </c>
      <c r="M26">
        <v>212</v>
      </c>
      <c r="N26">
        <v>13</v>
      </c>
    </row>
    <row r="27" spans="1:14" x14ac:dyDescent="0.25">
      <c r="A27" s="22" t="s">
        <v>318</v>
      </c>
      <c r="B27" s="22" t="s">
        <v>230</v>
      </c>
      <c r="C27" s="22">
        <v>72</v>
      </c>
      <c r="I27" s="31" t="s">
        <v>272</v>
      </c>
      <c r="L27" s="31" t="s">
        <v>247</v>
      </c>
      <c r="M27">
        <v>210</v>
      </c>
      <c r="N27">
        <v>15</v>
      </c>
    </row>
    <row r="28" spans="1:14" x14ac:dyDescent="0.25">
      <c r="A28" s="22" t="s">
        <v>318</v>
      </c>
      <c r="B28" s="22" t="s">
        <v>228</v>
      </c>
      <c r="C28" s="22">
        <v>75</v>
      </c>
      <c r="I28" s="31" t="s">
        <v>116</v>
      </c>
      <c r="J28">
        <v>241.27500000000001</v>
      </c>
      <c r="L28" s="31" t="s">
        <v>257</v>
      </c>
      <c r="M28">
        <v>265</v>
      </c>
      <c r="N28">
        <v>4</v>
      </c>
    </row>
    <row r="29" spans="1:14" x14ac:dyDescent="0.25">
      <c r="A29" s="22" t="s">
        <v>257</v>
      </c>
      <c r="B29" s="22" t="s">
        <v>317</v>
      </c>
      <c r="C29" s="22">
        <v>88</v>
      </c>
      <c r="L29" s="31" t="s">
        <v>319</v>
      </c>
      <c r="M29">
        <v>255</v>
      </c>
      <c r="N29">
        <v>5</v>
      </c>
    </row>
    <row r="30" spans="1:14" x14ac:dyDescent="0.25">
      <c r="A30" s="22" t="s">
        <v>257</v>
      </c>
      <c r="B30" s="22" t="s">
        <v>230</v>
      </c>
      <c r="C30" s="22">
        <v>86</v>
      </c>
      <c r="L30" s="31" t="s">
        <v>251</v>
      </c>
      <c r="M30">
        <v>211</v>
      </c>
      <c r="N30">
        <v>14</v>
      </c>
    </row>
    <row r="31" spans="1:14" x14ac:dyDescent="0.25">
      <c r="A31" s="22" t="s">
        <v>257</v>
      </c>
      <c r="B31" s="22" t="s">
        <v>228</v>
      </c>
      <c r="C31" s="22">
        <v>91</v>
      </c>
      <c r="L31" s="31" t="s">
        <v>229</v>
      </c>
      <c r="M31">
        <v>241</v>
      </c>
      <c r="N31">
        <v>9</v>
      </c>
    </row>
    <row r="32" spans="1:14" x14ac:dyDescent="0.25">
      <c r="A32" s="22" t="s">
        <v>247</v>
      </c>
      <c r="B32" s="22" t="s">
        <v>317</v>
      </c>
      <c r="C32" s="22">
        <v>66</v>
      </c>
      <c r="L32" s="31" t="s">
        <v>92</v>
      </c>
      <c r="M32">
        <v>224</v>
      </c>
      <c r="N32">
        <v>11</v>
      </c>
    </row>
    <row r="33" spans="1:14" x14ac:dyDescent="0.25">
      <c r="A33" s="22" t="s">
        <v>247</v>
      </c>
      <c r="B33" s="22" t="s">
        <v>230</v>
      </c>
      <c r="C33" s="22">
        <v>70</v>
      </c>
      <c r="L33" s="31" t="s">
        <v>249</v>
      </c>
      <c r="M33">
        <v>277</v>
      </c>
      <c r="N33">
        <v>1</v>
      </c>
    </row>
    <row r="34" spans="1:14" x14ac:dyDescent="0.25">
      <c r="A34" s="22" t="s">
        <v>247</v>
      </c>
      <c r="B34" s="22" t="s">
        <v>228</v>
      </c>
      <c r="C34" s="22">
        <v>74</v>
      </c>
      <c r="L34" s="31" t="s">
        <v>320</v>
      </c>
      <c r="M34">
        <v>244</v>
      </c>
      <c r="N34">
        <v>8</v>
      </c>
    </row>
    <row r="35" spans="1:14" x14ac:dyDescent="0.25">
      <c r="A35" s="22" t="s">
        <v>319</v>
      </c>
      <c r="B35" s="22" t="s">
        <v>317</v>
      </c>
      <c r="C35" s="22">
        <v>83</v>
      </c>
      <c r="L35" s="31" t="s">
        <v>93</v>
      </c>
      <c r="M35">
        <v>255</v>
      </c>
      <c r="N35">
        <v>5</v>
      </c>
    </row>
    <row r="36" spans="1:14" x14ac:dyDescent="0.25">
      <c r="A36" s="22" t="s">
        <v>319</v>
      </c>
      <c r="B36" s="22" t="s">
        <v>230</v>
      </c>
      <c r="C36" s="22">
        <v>85</v>
      </c>
      <c r="L36" s="31" t="s">
        <v>255</v>
      </c>
      <c r="M36">
        <v>276</v>
      </c>
      <c r="N36">
        <v>2</v>
      </c>
    </row>
    <row r="37" spans="1:14" x14ac:dyDescent="0.25">
      <c r="A37" s="22" t="s">
        <v>319</v>
      </c>
      <c r="B37" s="22" t="s">
        <v>228</v>
      </c>
      <c r="C37" s="22">
        <v>87</v>
      </c>
      <c r="L37" s="31" t="s">
        <v>114</v>
      </c>
      <c r="M37">
        <v>255</v>
      </c>
      <c r="N37">
        <v>5</v>
      </c>
    </row>
    <row r="38" spans="1:14" x14ac:dyDescent="0.25">
      <c r="A38" s="22" t="s">
        <v>320</v>
      </c>
      <c r="B38" s="22" t="s">
        <v>317</v>
      </c>
      <c r="C38" s="22">
        <v>79</v>
      </c>
      <c r="L38" s="31" t="s">
        <v>1</v>
      </c>
      <c r="M38">
        <v>225</v>
      </c>
      <c r="N38">
        <v>10</v>
      </c>
    </row>
    <row r="39" spans="1:14" x14ac:dyDescent="0.25">
      <c r="A39" s="22" t="s">
        <v>320</v>
      </c>
      <c r="B39" s="22" t="s">
        <v>230</v>
      </c>
      <c r="C39" s="22">
        <v>81</v>
      </c>
      <c r="L39" s="31" t="s">
        <v>272</v>
      </c>
    </row>
    <row r="40" spans="1:14" x14ac:dyDescent="0.25">
      <c r="A40" s="22" t="s">
        <v>320</v>
      </c>
      <c r="B40" s="22" t="s">
        <v>228</v>
      </c>
      <c r="C40" s="22">
        <v>84</v>
      </c>
      <c r="L40" s="31" t="s">
        <v>116</v>
      </c>
      <c r="M40">
        <v>3776</v>
      </c>
      <c r="N40">
        <v>133</v>
      </c>
    </row>
    <row r="41" spans="1:14" x14ac:dyDescent="0.25">
      <c r="A41" s="22" t="s">
        <v>1</v>
      </c>
      <c r="B41" s="22" t="s">
        <v>317</v>
      </c>
      <c r="C41" s="22">
        <v>72</v>
      </c>
    </row>
    <row r="42" spans="1:14" x14ac:dyDescent="0.25">
      <c r="A42" s="22" t="s">
        <v>1</v>
      </c>
      <c r="B42" s="22" t="s">
        <v>230</v>
      </c>
      <c r="C42" s="22">
        <v>75</v>
      </c>
    </row>
    <row r="43" spans="1:14" x14ac:dyDescent="0.25">
      <c r="A43" s="22" t="s">
        <v>1</v>
      </c>
      <c r="B43" s="22" t="s">
        <v>228</v>
      </c>
      <c r="C43" s="22">
        <v>78</v>
      </c>
    </row>
    <row r="44" spans="1:14" x14ac:dyDescent="0.25">
      <c r="A44" s="22" t="s">
        <v>255</v>
      </c>
      <c r="B44" s="22" t="s">
        <v>317</v>
      </c>
      <c r="C44" s="22">
        <v>90</v>
      </c>
    </row>
    <row r="45" spans="1:14" x14ac:dyDescent="0.25">
      <c r="A45" s="22" t="s">
        <v>255</v>
      </c>
      <c r="B45" s="22" t="s">
        <v>230</v>
      </c>
      <c r="C45" s="22">
        <v>92</v>
      </c>
    </row>
    <row r="46" spans="1:14" x14ac:dyDescent="0.25">
      <c r="A46" s="22" t="s">
        <v>255</v>
      </c>
      <c r="B46" s="22" t="s">
        <v>228</v>
      </c>
      <c r="C46" s="22">
        <v>94</v>
      </c>
    </row>
    <row r="47" spans="1:14" x14ac:dyDescent="0.25">
      <c r="A47" s="22" t="s">
        <v>321</v>
      </c>
      <c r="B47" s="22" t="s">
        <v>317</v>
      </c>
      <c r="C47" s="22">
        <v>68</v>
      </c>
    </row>
    <row r="48" spans="1:14" x14ac:dyDescent="0.25">
      <c r="A48" s="22" t="s">
        <v>321</v>
      </c>
      <c r="B48" s="22" t="s">
        <v>230</v>
      </c>
      <c r="C48" s="22">
        <v>70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6D158-172E-4A4C-BF35-5436E57E7E70}">
  <dimension ref="A1"/>
  <sheetViews>
    <sheetView showGridLines="0" workbookViewId="0">
      <selection activeCell="M22" sqref="M22"/>
    </sheetView>
  </sheetViews>
  <sheetFormatPr defaultRowHeight="15" x14ac:dyDescent="0.25"/>
  <cols>
    <col min="1" max="16384" width="9.140625" style="4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B1980-CA19-4C2E-B2B5-688818EF46FC}">
  <dimension ref="A1"/>
  <sheetViews>
    <sheetView workbookViewId="0">
      <selection activeCell="M41" sqref="M41"/>
    </sheetView>
  </sheetViews>
  <sheetFormatPr defaultRowHeight="15" x14ac:dyDescent="0.25"/>
  <cols>
    <col min="1" max="16384" width="9.140625" style="43"/>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D207D-B03D-447F-B059-49C88481B161}">
  <dimension ref="A1:O43"/>
  <sheetViews>
    <sheetView workbookViewId="0">
      <selection activeCell="E22" sqref="E22:G22"/>
    </sheetView>
  </sheetViews>
  <sheetFormatPr defaultRowHeight="15" x14ac:dyDescent="0.25"/>
  <cols>
    <col min="1" max="1" width="13.140625" bestFit="1" customWidth="1"/>
    <col min="2" max="2" width="30.28515625" bestFit="1" customWidth="1"/>
    <col min="4" max="4" width="13.5703125" bestFit="1" customWidth="1"/>
    <col min="5" max="5" width="13.140625" bestFit="1" customWidth="1"/>
    <col min="6" max="6" width="12.85546875" bestFit="1" customWidth="1"/>
    <col min="7" max="7" width="11.42578125" bestFit="1" customWidth="1"/>
    <col min="8" max="8" width="10.5703125" bestFit="1" customWidth="1"/>
    <col min="9" max="9" width="23.5703125" bestFit="1" customWidth="1"/>
    <col min="11" max="11" width="17.28515625" bestFit="1" customWidth="1"/>
    <col min="12" max="12" width="17.42578125" bestFit="1" customWidth="1"/>
    <col min="13" max="13" width="7" bestFit="1" customWidth="1"/>
    <col min="14" max="14" width="13.140625" bestFit="1" customWidth="1"/>
    <col min="15" max="15" width="24.85546875" bestFit="1" customWidth="1"/>
    <col min="19" max="19" width="25.7109375" bestFit="1" customWidth="1"/>
  </cols>
  <sheetData>
    <row r="1" spans="1:15" ht="15.75" x14ac:dyDescent="0.25">
      <c r="A1" s="44" t="s">
        <v>261</v>
      </c>
      <c r="B1" s="44" t="s">
        <v>262</v>
      </c>
      <c r="C1" s="44" t="s">
        <v>263</v>
      </c>
      <c r="D1" s="44" t="s">
        <v>264</v>
      </c>
      <c r="E1" s="44" t="s">
        <v>265</v>
      </c>
      <c r="F1" s="44" t="s">
        <v>266</v>
      </c>
      <c r="G1" s="44" t="s">
        <v>267</v>
      </c>
      <c r="H1" s="44" t="s">
        <v>268</v>
      </c>
      <c r="I1" s="44" t="s">
        <v>269</v>
      </c>
    </row>
    <row r="2" spans="1:15" x14ac:dyDescent="0.25">
      <c r="A2" s="45" t="s">
        <v>4</v>
      </c>
      <c r="B2" s="45" t="s">
        <v>228</v>
      </c>
      <c r="C2" s="45">
        <v>85</v>
      </c>
      <c r="D2" s="45">
        <v>95</v>
      </c>
      <c r="E2" s="45">
        <v>1</v>
      </c>
      <c r="F2" s="45" t="s">
        <v>253</v>
      </c>
      <c r="G2" s="45">
        <v>95</v>
      </c>
      <c r="H2" s="45">
        <v>81</v>
      </c>
      <c r="I2" s="45">
        <v>5.85</v>
      </c>
      <c r="N2" s="32" t="s">
        <v>115</v>
      </c>
      <c r="O2" t="s">
        <v>270</v>
      </c>
    </row>
    <row r="3" spans="1:15" x14ac:dyDescent="0.25">
      <c r="A3" s="45" t="s">
        <v>229</v>
      </c>
      <c r="B3" s="45" t="s">
        <v>230</v>
      </c>
      <c r="C3" s="45">
        <v>78</v>
      </c>
      <c r="D3" s="45">
        <v>92</v>
      </c>
      <c r="E3" s="45">
        <v>2</v>
      </c>
      <c r="F3" s="45" t="s">
        <v>251</v>
      </c>
      <c r="G3" s="45">
        <v>92</v>
      </c>
      <c r="H3" s="45">
        <v>89</v>
      </c>
      <c r="I3" s="45">
        <v>5.67</v>
      </c>
      <c r="N3" s="31" t="s">
        <v>253</v>
      </c>
      <c r="O3">
        <v>95</v>
      </c>
    </row>
    <row r="4" spans="1:15" x14ac:dyDescent="0.25">
      <c r="A4" s="45" t="s">
        <v>231</v>
      </c>
      <c r="B4" s="45" t="s">
        <v>232</v>
      </c>
      <c r="C4" s="45">
        <v>88</v>
      </c>
      <c r="D4" s="45">
        <v>91</v>
      </c>
      <c r="E4" s="45">
        <v>3</v>
      </c>
      <c r="F4" s="45" t="s">
        <v>92</v>
      </c>
      <c r="G4" s="45">
        <v>91</v>
      </c>
      <c r="H4" s="45">
        <v>90</v>
      </c>
      <c r="I4" s="45">
        <v>5.6</v>
      </c>
      <c r="N4" s="31" t="s">
        <v>251</v>
      </c>
      <c r="O4">
        <v>92</v>
      </c>
    </row>
    <row r="5" spans="1:15" x14ac:dyDescent="0.25">
      <c r="A5" s="45" t="s">
        <v>93</v>
      </c>
      <c r="B5" s="45" t="s">
        <v>233</v>
      </c>
      <c r="C5" s="45">
        <v>67</v>
      </c>
      <c r="D5" s="45">
        <v>90</v>
      </c>
      <c r="E5" s="45">
        <v>4</v>
      </c>
      <c r="F5" s="45"/>
      <c r="G5" s="45"/>
      <c r="H5" s="45">
        <v>79</v>
      </c>
      <c r="I5" s="45">
        <v>5.54</v>
      </c>
      <c r="N5" s="31" t="s">
        <v>92</v>
      </c>
      <c r="O5">
        <v>91</v>
      </c>
    </row>
    <row r="6" spans="1:15" x14ac:dyDescent="0.25">
      <c r="A6" s="45" t="s">
        <v>114</v>
      </c>
      <c r="B6" s="45" t="s">
        <v>234</v>
      </c>
      <c r="C6" s="45">
        <v>72</v>
      </c>
      <c r="D6" s="45">
        <v>90</v>
      </c>
      <c r="E6" s="45">
        <v>4</v>
      </c>
      <c r="F6" s="45"/>
      <c r="G6" s="45"/>
      <c r="H6" s="45">
        <v>91</v>
      </c>
      <c r="I6" s="45">
        <v>5.54</v>
      </c>
      <c r="N6" s="31" t="s">
        <v>272</v>
      </c>
    </row>
    <row r="7" spans="1:15" x14ac:dyDescent="0.25">
      <c r="A7" s="45" t="s">
        <v>92</v>
      </c>
      <c r="B7" s="45" t="s">
        <v>235</v>
      </c>
      <c r="C7" s="45">
        <v>91</v>
      </c>
      <c r="D7" s="45">
        <v>89</v>
      </c>
      <c r="E7" s="45">
        <v>6</v>
      </c>
      <c r="F7" s="45"/>
      <c r="G7" s="45"/>
      <c r="H7" s="45">
        <v>83</v>
      </c>
      <c r="I7" s="45">
        <v>5.48</v>
      </c>
      <c r="K7" s="32" t="s">
        <v>115</v>
      </c>
      <c r="L7" t="s">
        <v>273</v>
      </c>
      <c r="N7" s="31" t="s">
        <v>116</v>
      </c>
      <c r="O7">
        <v>278</v>
      </c>
    </row>
    <row r="8" spans="1:15" x14ac:dyDescent="0.25">
      <c r="A8" s="45" t="s">
        <v>236</v>
      </c>
      <c r="B8" s="45" t="s">
        <v>237</v>
      </c>
      <c r="C8" s="45">
        <v>90</v>
      </c>
      <c r="D8" s="45">
        <v>88</v>
      </c>
      <c r="E8" s="45">
        <v>7</v>
      </c>
      <c r="F8" s="45"/>
      <c r="G8" s="45"/>
      <c r="H8" s="45">
        <v>67</v>
      </c>
      <c r="I8" s="45">
        <v>5.42</v>
      </c>
      <c r="K8" s="31" t="s">
        <v>242</v>
      </c>
      <c r="L8">
        <v>70</v>
      </c>
    </row>
    <row r="9" spans="1:15" x14ac:dyDescent="0.25">
      <c r="A9" s="45" t="s">
        <v>238</v>
      </c>
      <c r="B9" s="45" t="s">
        <v>239</v>
      </c>
      <c r="C9" s="45">
        <v>69</v>
      </c>
      <c r="D9" s="45">
        <v>87</v>
      </c>
      <c r="E9" s="45">
        <v>8</v>
      </c>
      <c r="F9" s="45"/>
      <c r="G9" s="45"/>
      <c r="H9" s="45">
        <v>78</v>
      </c>
      <c r="I9" s="45">
        <v>5.36</v>
      </c>
      <c r="K9" s="31" t="s">
        <v>256</v>
      </c>
      <c r="L9">
        <v>87</v>
      </c>
    </row>
    <row r="10" spans="1:15" x14ac:dyDescent="0.25">
      <c r="A10" s="45" t="s">
        <v>240</v>
      </c>
      <c r="B10" s="45" t="s">
        <v>241</v>
      </c>
      <c r="C10" s="45">
        <v>74</v>
      </c>
      <c r="D10" s="45">
        <v>85</v>
      </c>
      <c r="E10" s="45">
        <v>9</v>
      </c>
      <c r="F10" s="45"/>
      <c r="G10" s="45"/>
      <c r="H10" s="45">
        <v>85</v>
      </c>
      <c r="I10" s="45">
        <v>5.23</v>
      </c>
      <c r="K10" s="31" t="s">
        <v>234</v>
      </c>
      <c r="L10">
        <v>91</v>
      </c>
    </row>
    <row r="11" spans="1:15" x14ac:dyDescent="0.25">
      <c r="A11" s="45" t="s">
        <v>1</v>
      </c>
      <c r="B11" s="45" t="s">
        <v>242</v>
      </c>
      <c r="C11" s="45">
        <v>81</v>
      </c>
      <c r="D11" s="45">
        <v>83</v>
      </c>
      <c r="E11" s="45">
        <v>10</v>
      </c>
      <c r="F11" s="45"/>
      <c r="G11" s="45"/>
      <c r="H11" s="45">
        <v>70</v>
      </c>
      <c r="I11" s="45">
        <v>5.1100000000000003</v>
      </c>
      <c r="K11" s="31" t="s">
        <v>233</v>
      </c>
      <c r="L11">
        <v>79</v>
      </c>
    </row>
    <row r="12" spans="1:15" x14ac:dyDescent="0.25">
      <c r="A12" s="45" t="s">
        <v>243</v>
      </c>
      <c r="B12" s="45" t="s">
        <v>244</v>
      </c>
      <c r="C12" s="45">
        <v>76</v>
      </c>
      <c r="D12" s="45">
        <v>81</v>
      </c>
      <c r="E12" s="45">
        <v>11</v>
      </c>
      <c r="F12" s="45"/>
      <c r="G12" s="45"/>
      <c r="H12" s="45">
        <v>92</v>
      </c>
      <c r="I12" s="45">
        <v>4.99</v>
      </c>
      <c r="K12" s="31" t="s">
        <v>235</v>
      </c>
      <c r="L12">
        <v>83</v>
      </c>
    </row>
    <row r="13" spans="1:15" x14ac:dyDescent="0.25">
      <c r="A13" s="45" t="s">
        <v>245</v>
      </c>
      <c r="B13" s="45" t="s">
        <v>127</v>
      </c>
      <c r="C13" s="45">
        <v>83</v>
      </c>
      <c r="D13" s="45">
        <v>79</v>
      </c>
      <c r="E13" s="45">
        <v>12</v>
      </c>
      <c r="F13" s="45"/>
      <c r="G13" s="45"/>
      <c r="H13" s="45">
        <v>74</v>
      </c>
      <c r="I13" s="45">
        <v>4.8600000000000003</v>
      </c>
      <c r="K13" s="31" t="s">
        <v>237</v>
      </c>
      <c r="L13">
        <v>67</v>
      </c>
    </row>
    <row r="14" spans="1:15" x14ac:dyDescent="0.25">
      <c r="A14" s="45" t="s">
        <v>246</v>
      </c>
      <c r="B14" s="45" t="s">
        <v>132</v>
      </c>
      <c r="C14" s="45">
        <v>79</v>
      </c>
      <c r="D14" s="45">
        <v>78</v>
      </c>
      <c r="E14" s="45">
        <v>13</v>
      </c>
      <c r="F14" s="45"/>
      <c r="G14" s="45"/>
      <c r="H14" s="45">
        <v>88</v>
      </c>
      <c r="I14" s="45">
        <v>4.8</v>
      </c>
      <c r="K14" s="31" t="s">
        <v>260</v>
      </c>
      <c r="L14">
        <v>72</v>
      </c>
    </row>
    <row r="15" spans="1:15" x14ac:dyDescent="0.25">
      <c r="A15" s="45" t="s">
        <v>247</v>
      </c>
      <c r="B15" s="45" t="s">
        <v>248</v>
      </c>
      <c r="C15" s="45">
        <v>70</v>
      </c>
      <c r="D15" s="45">
        <v>76</v>
      </c>
      <c r="E15" s="45">
        <v>14</v>
      </c>
      <c r="F15" s="45"/>
      <c r="G15" s="45"/>
      <c r="H15" s="45">
        <v>68</v>
      </c>
      <c r="I15" s="45">
        <v>4.68</v>
      </c>
      <c r="K15" s="31" t="s">
        <v>241</v>
      </c>
      <c r="L15">
        <v>85</v>
      </c>
    </row>
    <row r="16" spans="1:15" x14ac:dyDescent="0.25">
      <c r="A16" s="45" t="s">
        <v>249</v>
      </c>
      <c r="B16" s="45" t="s">
        <v>250</v>
      </c>
      <c r="C16" s="45">
        <v>68</v>
      </c>
      <c r="D16" s="45">
        <v>74</v>
      </c>
      <c r="E16" s="45">
        <v>15</v>
      </c>
      <c r="F16" s="45"/>
      <c r="G16" s="45"/>
      <c r="H16" s="45">
        <v>76</v>
      </c>
      <c r="I16" s="45">
        <v>4.5599999999999996</v>
      </c>
      <c r="K16" s="31" t="s">
        <v>230</v>
      </c>
      <c r="L16">
        <v>89</v>
      </c>
    </row>
    <row r="17" spans="1:12" x14ac:dyDescent="0.25">
      <c r="A17" s="45" t="s">
        <v>251</v>
      </c>
      <c r="B17" s="45" t="s">
        <v>252</v>
      </c>
      <c r="C17" s="45">
        <v>92</v>
      </c>
      <c r="D17" s="45">
        <v>72</v>
      </c>
      <c r="E17" s="45">
        <v>16</v>
      </c>
      <c r="F17" s="45"/>
      <c r="G17" s="45"/>
      <c r="H17" s="45">
        <v>69</v>
      </c>
      <c r="I17" s="45">
        <v>4.43</v>
      </c>
      <c r="K17" s="31" t="s">
        <v>127</v>
      </c>
      <c r="L17">
        <v>74</v>
      </c>
    </row>
    <row r="18" spans="1:12" x14ac:dyDescent="0.25">
      <c r="A18" s="45" t="s">
        <v>253</v>
      </c>
      <c r="B18" s="45" t="s">
        <v>254</v>
      </c>
      <c r="C18" s="45">
        <v>95</v>
      </c>
      <c r="D18" s="45">
        <v>70</v>
      </c>
      <c r="E18" s="45">
        <v>17</v>
      </c>
      <c r="F18" s="45"/>
      <c r="G18" s="45"/>
      <c r="H18" s="45">
        <v>95</v>
      </c>
      <c r="I18" s="45">
        <v>4.3099999999999996</v>
      </c>
      <c r="K18" s="31" t="s">
        <v>250</v>
      </c>
      <c r="L18">
        <v>76</v>
      </c>
    </row>
    <row r="19" spans="1:12" x14ac:dyDescent="0.25">
      <c r="A19" s="45" t="s">
        <v>255</v>
      </c>
      <c r="B19" s="45" t="s">
        <v>256</v>
      </c>
      <c r="C19" s="45">
        <v>89</v>
      </c>
      <c r="D19" s="45">
        <v>69</v>
      </c>
      <c r="E19" s="45">
        <v>18</v>
      </c>
      <c r="F19" s="45"/>
      <c r="G19" s="45"/>
      <c r="H19" s="45">
        <v>87</v>
      </c>
      <c r="I19" s="45">
        <v>4.25</v>
      </c>
      <c r="K19" s="31" t="s">
        <v>248</v>
      </c>
      <c r="L19">
        <v>68</v>
      </c>
    </row>
    <row r="20" spans="1:12" x14ac:dyDescent="0.25">
      <c r="A20" s="45" t="s">
        <v>257</v>
      </c>
      <c r="B20" s="45" t="s">
        <v>258</v>
      </c>
      <c r="C20" s="45">
        <v>87</v>
      </c>
      <c r="D20" s="45">
        <v>68</v>
      </c>
      <c r="E20" s="45">
        <v>19</v>
      </c>
      <c r="F20" s="45"/>
      <c r="G20" s="45"/>
      <c r="H20" s="45">
        <v>90</v>
      </c>
      <c r="I20" s="45">
        <v>4.1900000000000004</v>
      </c>
      <c r="K20" s="31" t="s">
        <v>252</v>
      </c>
      <c r="L20">
        <v>69</v>
      </c>
    </row>
    <row r="21" spans="1:12" x14ac:dyDescent="0.25">
      <c r="A21" s="45" t="s">
        <v>259</v>
      </c>
      <c r="B21" s="45" t="s">
        <v>260</v>
      </c>
      <c r="C21" s="45">
        <v>90</v>
      </c>
      <c r="D21" s="45">
        <v>67</v>
      </c>
      <c r="E21" s="45">
        <v>20</v>
      </c>
      <c r="F21" s="45"/>
      <c r="G21" s="45"/>
      <c r="H21" s="45">
        <v>72</v>
      </c>
      <c r="I21" s="45">
        <v>4.13</v>
      </c>
      <c r="K21" s="31" t="s">
        <v>258</v>
      </c>
      <c r="L21">
        <v>90</v>
      </c>
    </row>
    <row r="22" spans="1:12" x14ac:dyDescent="0.25">
      <c r="A22">
        <f>COUNT(A2:A21)</f>
        <v>0</v>
      </c>
      <c r="C22">
        <f>SUM(C2:C21)</f>
        <v>1624</v>
      </c>
      <c r="D22">
        <f>SUM(D2:D21)</f>
        <v>1624</v>
      </c>
      <c r="E22" s="32" t="s">
        <v>115</v>
      </c>
      <c r="F22" t="s">
        <v>274</v>
      </c>
      <c r="G22" t="s">
        <v>271</v>
      </c>
      <c r="K22" s="31" t="s">
        <v>244</v>
      </c>
      <c r="L22">
        <v>92</v>
      </c>
    </row>
    <row r="23" spans="1:12" x14ac:dyDescent="0.25">
      <c r="E23" s="31" t="s">
        <v>240</v>
      </c>
      <c r="F23">
        <v>74</v>
      </c>
      <c r="G23">
        <v>9</v>
      </c>
      <c r="K23" s="31" t="s">
        <v>132</v>
      </c>
      <c r="L23">
        <v>88</v>
      </c>
    </row>
    <row r="24" spans="1:12" x14ac:dyDescent="0.25">
      <c r="D24">
        <f>COUNT(D2:D21)</f>
        <v>20</v>
      </c>
      <c r="E24" s="31" t="s">
        <v>4</v>
      </c>
      <c r="F24">
        <v>85</v>
      </c>
      <c r="G24">
        <v>1</v>
      </c>
      <c r="K24" s="31" t="s">
        <v>228</v>
      </c>
      <c r="L24">
        <v>81</v>
      </c>
    </row>
    <row r="25" spans="1:12" x14ac:dyDescent="0.25">
      <c r="A25" s="32" t="s">
        <v>115</v>
      </c>
      <c r="B25" t="s">
        <v>275</v>
      </c>
      <c r="D25">
        <f>COUNT(A2:A21)</f>
        <v>0</v>
      </c>
      <c r="E25" s="31" t="s">
        <v>253</v>
      </c>
      <c r="F25">
        <v>95</v>
      </c>
      <c r="G25">
        <v>17</v>
      </c>
      <c r="K25" s="31" t="s">
        <v>232</v>
      </c>
      <c r="L25">
        <v>90</v>
      </c>
    </row>
    <row r="26" spans="1:12" x14ac:dyDescent="0.25">
      <c r="A26" s="31" t="s">
        <v>253</v>
      </c>
      <c r="B26">
        <v>5.85</v>
      </c>
      <c r="E26" s="31" t="s">
        <v>246</v>
      </c>
      <c r="F26">
        <v>79</v>
      </c>
      <c r="G26">
        <v>13</v>
      </c>
      <c r="K26" s="31" t="s">
        <v>254</v>
      </c>
      <c r="L26">
        <v>95</v>
      </c>
    </row>
    <row r="27" spans="1:12" x14ac:dyDescent="0.25">
      <c r="A27" s="31" t="s">
        <v>251</v>
      </c>
      <c r="B27">
        <v>5.67</v>
      </c>
      <c r="E27" s="31" t="s">
        <v>247</v>
      </c>
      <c r="F27">
        <v>70</v>
      </c>
      <c r="G27">
        <v>14</v>
      </c>
      <c r="K27" s="31" t="s">
        <v>239</v>
      </c>
      <c r="L27">
        <v>78</v>
      </c>
    </row>
    <row r="28" spans="1:12" x14ac:dyDescent="0.25">
      <c r="A28" s="31" t="s">
        <v>92</v>
      </c>
      <c r="B28">
        <v>5.6</v>
      </c>
      <c r="E28" s="31" t="s">
        <v>259</v>
      </c>
      <c r="F28">
        <v>90</v>
      </c>
      <c r="G28">
        <v>20</v>
      </c>
      <c r="K28" s="31" t="s">
        <v>116</v>
      </c>
      <c r="L28">
        <v>1624</v>
      </c>
    </row>
    <row r="29" spans="1:12" x14ac:dyDescent="0.25">
      <c r="A29" s="31" t="s">
        <v>272</v>
      </c>
      <c r="B29">
        <v>82.88</v>
      </c>
      <c r="E29" s="31" t="s">
        <v>245</v>
      </c>
      <c r="F29">
        <v>83</v>
      </c>
      <c r="G29">
        <v>12</v>
      </c>
    </row>
    <row r="30" spans="1:12" x14ac:dyDescent="0.25">
      <c r="A30" s="31" t="s">
        <v>116</v>
      </c>
      <c r="B30">
        <v>100</v>
      </c>
      <c r="E30" s="31" t="s">
        <v>257</v>
      </c>
      <c r="F30">
        <v>87</v>
      </c>
      <c r="G30">
        <v>19</v>
      </c>
    </row>
    <row r="31" spans="1:12" x14ac:dyDescent="0.25">
      <c r="E31" s="31" t="s">
        <v>236</v>
      </c>
      <c r="F31">
        <v>90</v>
      </c>
      <c r="G31">
        <v>7</v>
      </c>
    </row>
    <row r="32" spans="1:12" x14ac:dyDescent="0.25">
      <c r="E32" s="31" t="s">
        <v>251</v>
      </c>
      <c r="F32">
        <v>92</v>
      </c>
      <c r="G32">
        <v>16</v>
      </c>
    </row>
    <row r="33" spans="5:7" x14ac:dyDescent="0.25">
      <c r="E33" s="31" t="s">
        <v>229</v>
      </c>
      <c r="F33">
        <v>78</v>
      </c>
      <c r="G33">
        <v>2</v>
      </c>
    </row>
    <row r="34" spans="5:7" x14ac:dyDescent="0.25">
      <c r="E34" s="31" t="s">
        <v>243</v>
      </c>
      <c r="F34">
        <v>76</v>
      </c>
      <c r="G34">
        <v>11</v>
      </c>
    </row>
    <row r="35" spans="5:7" x14ac:dyDescent="0.25">
      <c r="E35" s="31" t="s">
        <v>92</v>
      </c>
      <c r="F35">
        <v>91</v>
      </c>
      <c r="G35">
        <v>6</v>
      </c>
    </row>
    <row r="36" spans="5:7" x14ac:dyDescent="0.25">
      <c r="E36" s="31" t="s">
        <v>249</v>
      </c>
      <c r="F36">
        <v>68</v>
      </c>
      <c r="G36">
        <v>15</v>
      </c>
    </row>
    <row r="37" spans="5:7" x14ac:dyDescent="0.25">
      <c r="E37" s="31" t="s">
        <v>93</v>
      </c>
      <c r="F37">
        <v>67</v>
      </c>
      <c r="G37">
        <v>4</v>
      </c>
    </row>
    <row r="38" spans="5:7" x14ac:dyDescent="0.25">
      <c r="E38" s="31" t="s">
        <v>238</v>
      </c>
      <c r="F38">
        <v>69</v>
      </c>
      <c r="G38">
        <v>8</v>
      </c>
    </row>
    <row r="39" spans="5:7" x14ac:dyDescent="0.25">
      <c r="E39" s="31" t="s">
        <v>255</v>
      </c>
      <c r="F39">
        <v>89</v>
      </c>
      <c r="G39">
        <v>18</v>
      </c>
    </row>
    <row r="40" spans="5:7" x14ac:dyDescent="0.25">
      <c r="E40" s="31" t="s">
        <v>231</v>
      </c>
      <c r="F40">
        <v>88</v>
      </c>
      <c r="G40">
        <v>3</v>
      </c>
    </row>
    <row r="41" spans="5:7" x14ac:dyDescent="0.25">
      <c r="E41" s="31" t="s">
        <v>114</v>
      </c>
      <c r="F41">
        <v>72</v>
      </c>
      <c r="G41">
        <v>4</v>
      </c>
    </row>
    <row r="42" spans="5:7" x14ac:dyDescent="0.25">
      <c r="E42" s="31" t="s">
        <v>1</v>
      </c>
      <c r="F42">
        <v>81</v>
      </c>
      <c r="G42">
        <v>10</v>
      </c>
    </row>
    <row r="43" spans="5:7" x14ac:dyDescent="0.25">
      <c r="E43" s="31" t="s">
        <v>116</v>
      </c>
      <c r="F43">
        <v>1624</v>
      </c>
      <c r="G43">
        <v>209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E90B5-A3F4-464A-91D6-728050F2666F}">
  <dimension ref="A1"/>
  <sheetViews>
    <sheetView workbookViewId="0">
      <selection activeCell="Q41" sqref="Q41"/>
    </sheetView>
  </sheetViews>
  <sheetFormatPr defaultRowHeight="15" x14ac:dyDescent="0.25"/>
  <cols>
    <col min="1" max="16384" width="9.140625" style="4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CA9AC-2824-4936-87CE-56187FD4EFCD}">
  <sheetPr filterMode="1"/>
  <dimension ref="A1:AB20"/>
  <sheetViews>
    <sheetView topLeftCell="C1" zoomScale="87" zoomScaleNormal="87" workbookViewId="0">
      <selection activeCell="R18" sqref="R18:R19"/>
    </sheetView>
  </sheetViews>
  <sheetFormatPr defaultRowHeight="15" x14ac:dyDescent="0.25"/>
  <cols>
    <col min="2" max="2" width="18.85546875" bestFit="1" customWidth="1"/>
    <col min="3" max="3" width="7.85546875" bestFit="1" customWidth="1"/>
    <col min="4" max="4" width="17.28515625" bestFit="1" customWidth="1"/>
    <col min="5" max="5" width="22.28515625" bestFit="1" customWidth="1"/>
    <col min="6" max="6" width="19.85546875" bestFit="1" customWidth="1"/>
    <col min="9" max="9" width="9.85546875" bestFit="1" customWidth="1"/>
    <col min="11" max="11" width="13.28515625" bestFit="1" customWidth="1"/>
    <col min="13" max="13" width="12.42578125" bestFit="1" customWidth="1"/>
    <col min="14" max="14" width="26.85546875" bestFit="1" customWidth="1"/>
    <col min="15" max="16" width="12" customWidth="1"/>
    <col min="17" max="17" width="17.28515625" bestFit="1" customWidth="1"/>
    <col min="18" max="18" width="17.7109375" bestFit="1" customWidth="1"/>
    <col min="19" max="19" width="18.28515625" bestFit="1" customWidth="1"/>
    <col min="20" max="20" width="22.42578125" bestFit="1" customWidth="1"/>
    <col min="21" max="21" width="11.140625" customWidth="1"/>
    <col min="23" max="23" width="17.85546875" bestFit="1" customWidth="1"/>
    <col min="24" max="24" width="34.28515625" bestFit="1" customWidth="1"/>
    <col min="25" max="25" width="21.42578125" bestFit="1" customWidth="1"/>
    <col min="26" max="26" width="4.5703125" bestFit="1" customWidth="1"/>
    <col min="27" max="27" width="3.140625" bestFit="1" customWidth="1"/>
    <col min="28" max="28" width="14.85546875" bestFit="1" customWidth="1"/>
  </cols>
  <sheetData>
    <row r="1" spans="1:28" ht="15.75" x14ac:dyDescent="0.25">
      <c r="A1" s="37" t="s">
        <v>206</v>
      </c>
      <c r="B1" s="37" t="s">
        <v>207</v>
      </c>
      <c r="C1" s="37" t="s">
        <v>208</v>
      </c>
      <c r="D1" s="37" t="s">
        <v>209</v>
      </c>
      <c r="E1" s="37" t="s">
        <v>210</v>
      </c>
      <c r="F1" s="37" t="s">
        <v>211</v>
      </c>
      <c r="G1" s="37" t="s">
        <v>142</v>
      </c>
      <c r="H1" s="37" t="s">
        <v>143</v>
      </c>
      <c r="I1" s="37" t="s">
        <v>212</v>
      </c>
      <c r="J1" s="37" t="s">
        <v>213</v>
      </c>
      <c r="K1" s="37" t="s">
        <v>214</v>
      </c>
      <c r="L1" s="37" t="s">
        <v>215</v>
      </c>
      <c r="M1" s="37" t="s">
        <v>216</v>
      </c>
      <c r="N1" s="37" t="s">
        <v>217</v>
      </c>
      <c r="O1" s="41" t="s">
        <v>222</v>
      </c>
      <c r="P1" s="41"/>
      <c r="Q1" s="37" t="s">
        <v>209</v>
      </c>
      <c r="R1" s="37" t="s">
        <v>218</v>
      </c>
      <c r="T1" s="37" t="s">
        <v>140</v>
      </c>
      <c r="U1" s="37" t="s">
        <v>219</v>
      </c>
      <c r="W1" s="37" t="s">
        <v>220</v>
      </c>
      <c r="X1" s="38" t="s">
        <v>211</v>
      </c>
      <c r="Y1" s="38"/>
      <c r="Z1" s="37" t="s">
        <v>140</v>
      </c>
      <c r="AA1" s="37" t="s">
        <v>215</v>
      </c>
      <c r="AB1" s="37" t="s">
        <v>221</v>
      </c>
    </row>
    <row r="2" spans="1:28" x14ac:dyDescent="0.25">
      <c r="A2" s="22">
        <v>1</v>
      </c>
      <c r="B2" s="22" t="s">
        <v>122</v>
      </c>
      <c r="C2" s="22" t="s">
        <v>148</v>
      </c>
      <c r="D2" s="22" t="s">
        <v>130</v>
      </c>
      <c r="E2" s="22" t="s">
        <v>149</v>
      </c>
      <c r="F2" s="33">
        <v>44576</v>
      </c>
      <c r="G2" s="22">
        <v>65000</v>
      </c>
      <c r="H2" s="22" t="s">
        <v>150</v>
      </c>
      <c r="I2" s="33">
        <v>45658</v>
      </c>
      <c r="J2" s="22" t="s">
        <v>125</v>
      </c>
      <c r="K2" s="33">
        <v>45662</v>
      </c>
      <c r="L2" s="22">
        <v>5</v>
      </c>
      <c r="M2" s="33">
        <v>45306</v>
      </c>
      <c r="N2" s="22" t="s">
        <v>151</v>
      </c>
      <c r="O2" s="22" t="str">
        <f t="shared" ref="O2:O19" si="0">IF(G2&gt;=50000,"Bonus","No Bonus")</f>
        <v>Bonus</v>
      </c>
      <c r="P2" s="42"/>
      <c r="Q2" s="42" t="s">
        <v>132</v>
      </c>
      <c r="R2" s="22">
        <v>2</v>
      </c>
      <c r="T2" s="22" t="s">
        <v>132</v>
      </c>
      <c r="U2" s="22">
        <v>47500</v>
      </c>
      <c r="W2" s="22" t="s">
        <v>188</v>
      </c>
      <c r="X2" s="39">
        <v>45112</v>
      </c>
      <c r="Y2" s="39"/>
      <c r="Z2" s="22" t="s">
        <v>135</v>
      </c>
      <c r="AA2" s="22">
        <v>5</v>
      </c>
      <c r="AB2" s="22">
        <v>1</v>
      </c>
    </row>
    <row r="3" spans="1:28" x14ac:dyDescent="0.25">
      <c r="A3" s="22">
        <v>3</v>
      </c>
      <c r="B3" s="22" t="s">
        <v>123</v>
      </c>
      <c r="C3" s="22" t="s">
        <v>148</v>
      </c>
      <c r="D3" s="22" t="s">
        <v>127</v>
      </c>
      <c r="E3" s="22" t="s">
        <v>153</v>
      </c>
      <c r="F3" s="33">
        <v>44013</v>
      </c>
      <c r="G3" s="22">
        <v>52000</v>
      </c>
      <c r="H3" s="22" t="s">
        <v>150</v>
      </c>
      <c r="I3" s="33">
        <v>45658</v>
      </c>
      <c r="J3" s="22" t="s">
        <v>128</v>
      </c>
      <c r="K3" s="33">
        <v>45662</v>
      </c>
      <c r="L3" s="22">
        <v>3</v>
      </c>
      <c r="M3" s="33">
        <v>45356</v>
      </c>
      <c r="N3" s="22" t="s">
        <v>154</v>
      </c>
      <c r="O3" s="22" t="str">
        <f t="shared" si="0"/>
        <v>Bonus</v>
      </c>
      <c r="P3" s="42"/>
      <c r="Q3" s="42" t="s">
        <v>127</v>
      </c>
      <c r="R3" s="22">
        <v>3</v>
      </c>
      <c r="T3" s="22" t="s">
        <v>162</v>
      </c>
      <c r="U3" s="22">
        <v>65000</v>
      </c>
      <c r="Z3" s="22" t="s">
        <v>162</v>
      </c>
      <c r="AA3" s="22">
        <v>5</v>
      </c>
      <c r="AB3" s="22">
        <v>1</v>
      </c>
    </row>
    <row r="4" spans="1:28" x14ac:dyDescent="0.25">
      <c r="A4" s="22">
        <v>4</v>
      </c>
      <c r="B4" s="22" t="s">
        <v>155</v>
      </c>
      <c r="C4" s="22" t="s">
        <v>152</v>
      </c>
      <c r="D4" s="22" t="s">
        <v>132</v>
      </c>
      <c r="E4" s="22" t="s">
        <v>156</v>
      </c>
      <c r="F4" s="33">
        <v>43605</v>
      </c>
      <c r="G4" s="22">
        <v>50000</v>
      </c>
      <c r="H4" s="22" t="s">
        <v>150</v>
      </c>
      <c r="I4" s="33">
        <v>45658</v>
      </c>
      <c r="J4" s="22" t="s">
        <v>125</v>
      </c>
      <c r="K4" s="33">
        <v>45662</v>
      </c>
      <c r="L4" s="22">
        <v>4</v>
      </c>
      <c r="M4" s="33">
        <v>45371</v>
      </c>
      <c r="N4" s="22" t="s">
        <v>157</v>
      </c>
      <c r="O4" s="22" t="str">
        <f t="shared" si="0"/>
        <v>Bonus</v>
      </c>
      <c r="P4" s="42"/>
      <c r="Q4" s="42" t="s">
        <v>178</v>
      </c>
      <c r="R4" s="22">
        <v>2</v>
      </c>
      <c r="T4" s="22" t="s">
        <v>127</v>
      </c>
      <c r="U4" s="22">
        <v>56666.666666666599</v>
      </c>
      <c r="Z4" s="22" t="s">
        <v>130</v>
      </c>
      <c r="AA4" s="22">
        <v>5</v>
      </c>
      <c r="AB4" s="22">
        <v>1</v>
      </c>
    </row>
    <row r="5" spans="1:28" x14ac:dyDescent="0.25">
      <c r="A5" s="22">
        <v>5</v>
      </c>
      <c r="B5" s="22" t="s">
        <v>131</v>
      </c>
      <c r="C5" s="22" t="s">
        <v>148</v>
      </c>
      <c r="D5" s="22" t="s">
        <v>130</v>
      </c>
      <c r="E5" s="22" t="s">
        <v>158</v>
      </c>
      <c r="F5" s="33">
        <v>44969</v>
      </c>
      <c r="G5" s="22">
        <v>75000</v>
      </c>
      <c r="H5" s="22" t="s">
        <v>150</v>
      </c>
      <c r="I5" s="33">
        <v>45658</v>
      </c>
      <c r="J5" s="22" t="s">
        <v>125</v>
      </c>
      <c r="K5" s="33">
        <v>45662</v>
      </c>
      <c r="L5" s="22">
        <v>5</v>
      </c>
      <c r="M5" s="33">
        <v>45394</v>
      </c>
      <c r="N5" s="22" t="s">
        <v>159</v>
      </c>
      <c r="O5" s="22" t="str">
        <f t="shared" si="0"/>
        <v>Bonus</v>
      </c>
      <c r="P5" s="42"/>
      <c r="Q5" s="42" t="s">
        <v>135</v>
      </c>
      <c r="R5" s="22">
        <v>3</v>
      </c>
      <c r="T5" s="22" t="s">
        <v>178</v>
      </c>
      <c r="U5" s="22">
        <v>57000</v>
      </c>
      <c r="Z5" s="22" t="s">
        <v>178</v>
      </c>
      <c r="AA5" s="22">
        <v>4</v>
      </c>
      <c r="AB5" s="22">
        <v>2</v>
      </c>
    </row>
    <row r="6" spans="1:28" x14ac:dyDescent="0.25">
      <c r="A6" s="22">
        <v>7</v>
      </c>
      <c r="B6" s="22" t="s">
        <v>161</v>
      </c>
      <c r="C6" s="22" t="s">
        <v>148</v>
      </c>
      <c r="D6" s="22" t="s">
        <v>162</v>
      </c>
      <c r="E6" s="22" t="s">
        <v>163</v>
      </c>
      <c r="F6" s="33">
        <v>43409</v>
      </c>
      <c r="G6" s="22">
        <v>82000</v>
      </c>
      <c r="H6" s="22" t="s">
        <v>150</v>
      </c>
      <c r="I6" s="33">
        <v>45658</v>
      </c>
      <c r="J6" s="22" t="s">
        <v>125</v>
      </c>
      <c r="K6" s="33">
        <v>45662</v>
      </c>
      <c r="L6" s="22">
        <v>5</v>
      </c>
      <c r="M6" s="33">
        <v>45422</v>
      </c>
      <c r="N6" s="22" t="s">
        <v>164</v>
      </c>
      <c r="O6" s="22" t="str">
        <f t="shared" si="0"/>
        <v>Bonus</v>
      </c>
      <c r="P6" s="42"/>
      <c r="Q6" s="42" t="s">
        <v>124</v>
      </c>
      <c r="R6" s="22">
        <v>3</v>
      </c>
      <c r="T6" s="22" t="s">
        <v>135</v>
      </c>
      <c r="U6" s="22">
        <v>59333.333333333299</v>
      </c>
      <c r="Z6" s="22" t="s">
        <v>132</v>
      </c>
      <c r="AA6" s="22">
        <v>4</v>
      </c>
      <c r="AB6" s="22">
        <v>2</v>
      </c>
    </row>
    <row r="7" spans="1:28" x14ac:dyDescent="0.25">
      <c r="A7" s="22">
        <v>8</v>
      </c>
      <c r="B7" s="22" t="s">
        <v>165</v>
      </c>
      <c r="C7" s="22" t="s">
        <v>152</v>
      </c>
      <c r="D7" s="22" t="s">
        <v>130</v>
      </c>
      <c r="E7" s="22" t="s">
        <v>166</v>
      </c>
      <c r="F7" s="33">
        <v>44737</v>
      </c>
      <c r="G7" s="22">
        <v>68000</v>
      </c>
      <c r="H7" s="22" t="s">
        <v>150</v>
      </c>
      <c r="I7" s="33">
        <v>45658</v>
      </c>
      <c r="J7" s="22" t="s">
        <v>125</v>
      </c>
      <c r="K7" s="33">
        <v>45662</v>
      </c>
      <c r="L7" s="22">
        <v>4</v>
      </c>
      <c r="M7" s="33">
        <v>45434</v>
      </c>
      <c r="N7" s="22" t="s">
        <v>167</v>
      </c>
      <c r="O7" s="22" t="str">
        <f t="shared" si="0"/>
        <v>Bonus</v>
      </c>
      <c r="P7" s="42"/>
      <c r="Q7" s="42" t="s">
        <v>162</v>
      </c>
      <c r="R7" s="22">
        <v>2</v>
      </c>
      <c r="T7" s="22" t="s">
        <v>130</v>
      </c>
      <c r="U7" s="22">
        <v>74600</v>
      </c>
      <c r="Z7" s="22" t="s">
        <v>135</v>
      </c>
      <c r="AA7" s="22">
        <v>4</v>
      </c>
      <c r="AB7" s="22">
        <v>2</v>
      </c>
    </row>
    <row r="8" spans="1:28" x14ac:dyDescent="0.25">
      <c r="A8" s="22">
        <v>9</v>
      </c>
      <c r="B8" s="22" t="s">
        <v>168</v>
      </c>
      <c r="C8" s="22" t="s">
        <v>148</v>
      </c>
      <c r="D8" s="22" t="s">
        <v>127</v>
      </c>
      <c r="E8" s="22" t="s">
        <v>169</v>
      </c>
      <c r="F8" s="33">
        <v>43840</v>
      </c>
      <c r="G8" s="22">
        <v>60000</v>
      </c>
      <c r="H8" s="22" t="s">
        <v>150</v>
      </c>
      <c r="I8" s="33">
        <v>45658</v>
      </c>
      <c r="J8" s="22" t="s">
        <v>128</v>
      </c>
      <c r="K8" s="33">
        <v>45662</v>
      </c>
      <c r="L8" s="22">
        <v>3</v>
      </c>
      <c r="M8" s="33">
        <v>45444</v>
      </c>
      <c r="N8" s="22" t="s">
        <v>170</v>
      </c>
      <c r="O8" s="22" t="str">
        <f t="shared" si="0"/>
        <v>Bonus</v>
      </c>
      <c r="P8" s="42"/>
      <c r="Q8" s="42" t="s">
        <v>130</v>
      </c>
      <c r="R8" s="22">
        <v>5</v>
      </c>
      <c r="T8" s="22" t="s">
        <v>124</v>
      </c>
      <c r="U8" s="22">
        <v>62666.666666666599</v>
      </c>
      <c r="Z8" s="22" t="s">
        <v>130</v>
      </c>
      <c r="AA8" s="22">
        <v>4</v>
      </c>
      <c r="AB8" s="22">
        <v>2</v>
      </c>
    </row>
    <row r="9" spans="1:28" x14ac:dyDescent="0.25">
      <c r="A9" s="22">
        <v>10</v>
      </c>
      <c r="B9" s="22" t="s">
        <v>171</v>
      </c>
      <c r="C9" s="22" t="s">
        <v>152</v>
      </c>
      <c r="D9" s="22" t="s">
        <v>124</v>
      </c>
      <c r="E9" s="22" t="s">
        <v>172</v>
      </c>
      <c r="F9" s="33">
        <v>42961</v>
      </c>
      <c r="G9" s="22">
        <v>90000</v>
      </c>
      <c r="H9" s="22" t="s">
        <v>150</v>
      </c>
      <c r="I9" s="33">
        <v>45658</v>
      </c>
      <c r="J9" s="22" t="s">
        <v>125</v>
      </c>
      <c r="K9" s="33">
        <v>45662</v>
      </c>
      <c r="L9" s="22">
        <v>4</v>
      </c>
      <c r="M9" s="33">
        <v>45458</v>
      </c>
      <c r="N9" s="22" t="s">
        <v>173</v>
      </c>
      <c r="O9" s="22" t="str">
        <f t="shared" si="0"/>
        <v>Bonus</v>
      </c>
      <c r="U9">
        <f>SUM(U2:U8)</f>
        <v>422766.66666666651</v>
      </c>
      <c r="Z9" s="22" t="s">
        <v>124</v>
      </c>
      <c r="AA9" s="22">
        <v>4</v>
      </c>
      <c r="AB9" s="22">
        <v>2</v>
      </c>
    </row>
    <row r="10" spans="1:28" x14ac:dyDescent="0.25">
      <c r="A10" s="22">
        <v>11</v>
      </c>
      <c r="B10" s="22" t="s">
        <v>174</v>
      </c>
      <c r="C10" s="22" t="s">
        <v>148</v>
      </c>
      <c r="D10" s="22" t="s">
        <v>135</v>
      </c>
      <c r="E10" s="22" t="s">
        <v>175</v>
      </c>
      <c r="F10" s="33">
        <v>43527</v>
      </c>
      <c r="G10" s="22">
        <v>85000</v>
      </c>
      <c r="H10" s="22" t="s">
        <v>150</v>
      </c>
      <c r="I10" s="33">
        <v>45659</v>
      </c>
      <c r="J10" s="22" t="s">
        <v>125</v>
      </c>
      <c r="K10" s="33">
        <v>45693</v>
      </c>
      <c r="L10" s="22">
        <v>5</v>
      </c>
      <c r="M10" s="33">
        <v>45478</v>
      </c>
      <c r="N10" s="22" t="s">
        <v>176</v>
      </c>
      <c r="O10" s="22" t="str">
        <f t="shared" si="0"/>
        <v>Bonus</v>
      </c>
      <c r="Z10" s="22" t="s">
        <v>127</v>
      </c>
      <c r="AA10" s="22">
        <v>3</v>
      </c>
      <c r="AB10" s="22">
        <v>3</v>
      </c>
    </row>
    <row r="11" spans="1:28" x14ac:dyDescent="0.25">
      <c r="A11" s="22">
        <v>13</v>
      </c>
      <c r="B11" s="22" t="s">
        <v>181</v>
      </c>
      <c r="C11" s="22" t="s">
        <v>148</v>
      </c>
      <c r="D11" s="22" t="s">
        <v>130</v>
      </c>
      <c r="E11" s="22" t="s">
        <v>182</v>
      </c>
      <c r="F11" s="33">
        <v>43435</v>
      </c>
      <c r="G11" s="22">
        <v>70000</v>
      </c>
      <c r="H11" s="22" t="s">
        <v>150</v>
      </c>
      <c r="I11" s="33">
        <v>45659</v>
      </c>
      <c r="J11" s="22" t="s">
        <v>125</v>
      </c>
      <c r="K11" s="33">
        <v>45693</v>
      </c>
      <c r="L11" s="22">
        <v>4</v>
      </c>
      <c r="M11" s="33">
        <v>45506</v>
      </c>
      <c r="N11" s="22" t="s">
        <v>183</v>
      </c>
      <c r="O11" s="22" t="str">
        <f t="shared" si="0"/>
        <v>Bonus</v>
      </c>
      <c r="Z11" s="22" t="s">
        <v>162</v>
      </c>
      <c r="AA11" s="22">
        <v>3</v>
      </c>
      <c r="AB11" s="22">
        <v>3</v>
      </c>
    </row>
    <row r="12" spans="1:28" x14ac:dyDescent="0.25">
      <c r="A12" s="22">
        <v>16</v>
      </c>
      <c r="B12" s="22" t="s">
        <v>191</v>
      </c>
      <c r="C12" s="22" t="s">
        <v>148</v>
      </c>
      <c r="D12" s="22" t="s">
        <v>127</v>
      </c>
      <c r="E12" s="22" t="s">
        <v>192</v>
      </c>
      <c r="F12" s="33">
        <v>43730</v>
      </c>
      <c r="G12" s="22">
        <v>58000</v>
      </c>
      <c r="H12" s="22" t="s">
        <v>186</v>
      </c>
      <c r="I12" s="33">
        <v>45659</v>
      </c>
      <c r="J12" s="22" t="s">
        <v>125</v>
      </c>
      <c r="K12" s="33">
        <v>45693</v>
      </c>
      <c r="L12" s="22">
        <v>3</v>
      </c>
      <c r="M12" s="33">
        <v>45560</v>
      </c>
      <c r="N12" s="22" t="s">
        <v>193</v>
      </c>
      <c r="O12" s="22" t="str">
        <f t="shared" si="0"/>
        <v>Bonus</v>
      </c>
    </row>
    <row r="13" spans="1:28" x14ac:dyDescent="0.25">
      <c r="A13" s="22">
        <v>18</v>
      </c>
      <c r="B13" s="22" t="s">
        <v>197</v>
      </c>
      <c r="C13" s="22" t="s">
        <v>152</v>
      </c>
      <c r="D13" s="22" t="s">
        <v>124</v>
      </c>
      <c r="E13" s="22" t="s">
        <v>198</v>
      </c>
      <c r="F13" s="33">
        <v>43998</v>
      </c>
      <c r="G13" s="22">
        <v>50000</v>
      </c>
      <c r="H13" s="22" t="s">
        <v>150</v>
      </c>
      <c r="I13" s="33">
        <v>45659</v>
      </c>
      <c r="J13" s="22" t="s">
        <v>125</v>
      </c>
      <c r="K13" s="33">
        <v>45693</v>
      </c>
      <c r="L13" s="22">
        <v>4</v>
      </c>
      <c r="M13" s="33">
        <v>45593</v>
      </c>
      <c r="N13" s="22" t="s">
        <v>199</v>
      </c>
      <c r="O13" s="22" t="str">
        <f t="shared" si="0"/>
        <v>Bonus</v>
      </c>
    </row>
    <row r="14" spans="1:28" x14ac:dyDescent="0.25">
      <c r="A14" s="22">
        <v>19</v>
      </c>
      <c r="B14" s="22" t="s">
        <v>200</v>
      </c>
      <c r="C14" s="22" t="s">
        <v>148</v>
      </c>
      <c r="D14" s="22" t="s">
        <v>130</v>
      </c>
      <c r="E14" s="22" t="s">
        <v>201</v>
      </c>
      <c r="F14" s="33">
        <v>42743</v>
      </c>
      <c r="G14" s="22">
        <v>95000</v>
      </c>
      <c r="H14" s="22" t="s">
        <v>150</v>
      </c>
      <c r="I14" s="33">
        <v>45659</v>
      </c>
      <c r="J14" s="22" t="s">
        <v>125</v>
      </c>
      <c r="K14" s="33">
        <v>45693</v>
      </c>
      <c r="L14" s="22">
        <v>5</v>
      </c>
      <c r="M14" s="33">
        <v>45608</v>
      </c>
      <c r="N14" s="22" t="s">
        <v>202</v>
      </c>
      <c r="O14" s="22" t="str">
        <f t="shared" si="0"/>
        <v>Bonus</v>
      </c>
    </row>
    <row r="15" spans="1:28" x14ac:dyDescent="0.25">
      <c r="A15" s="22">
        <v>20</v>
      </c>
      <c r="B15" s="22" t="s">
        <v>203</v>
      </c>
      <c r="C15" s="22" t="s">
        <v>152</v>
      </c>
      <c r="D15" s="22" t="s">
        <v>178</v>
      </c>
      <c r="E15" s="22" t="s">
        <v>204</v>
      </c>
      <c r="F15" s="33">
        <v>43217</v>
      </c>
      <c r="G15" s="22">
        <v>72000</v>
      </c>
      <c r="H15" s="22" t="s">
        <v>150</v>
      </c>
      <c r="I15" s="33">
        <v>45659</v>
      </c>
      <c r="J15" s="22" t="s">
        <v>128</v>
      </c>
      <c r="K15" s="33">
        <v>45693</v>
      </c>
      <c r="L15" s="22">
        <v>4</v>
      </c>
      <c r="M15" s="33">
        <v>45627</v>
      </c>
      <c r="N15" s="22" t="s">
        <v>205</v>
      </c>
      <c r="O15" s="22" t="str">
        <f t="shared" si="0"/>
        <v>Bonus</v>
      </c>
    </row>
    <row r="16" spans="1:28" x14ac:dyDescent="0.25">
      <c r="A16" s="22">
        <v>12</v>
      </c>
      <c r="B16" s="22" t="s">
        <v>177</v>
      </c>
      <c r="C16" s="22" t="s">
        <v>152</v>
      </c>
      <c r="D16" s="22" t="s">
        <v>178</v>
      </c>
      <c r="E16" s="22" t="s">
        <v>179</v>
      </c>
      <c r="F16" s="33">
        <v>44843</v>
      </c>
      <c r="G16" s="22">
        <v>42000</v>
      </c>
      <c r="H16" s="22" t="s">
        <v>150</v>
      </c>
      <c r="I16" s="33">
        <v>45659</v>
      </c>
      <c r="J16" s="22" t="s">
        <v>160</v>
      </c>
      <c r="K16" s="33">
        <v>45693</v>
      </c>
      <c r="L16" s="22">
        <v>4</v>
      </c>
      <c r="M16" s="33">
        <v>45491</v>
      </c>
      <c r="N16" s="22" t="s">
        <v>180</v>
      </c>
      <c r="O16" s="22" t="str">
        <f t="shared" si="0"/>
        <v>No Bonus</v>
      </c>
    </row>
    <row r="17" spans="1:15" x14ac:dyDescent="0.25">
      <c r="A17" s="22">
        <v>14</v>
      </c>
      <c r="B17" s="22" t="s">
        <v>184</v>
      </c>
      <c r="C17" s="22" t="s">
        <v>148</v>
      </c>
      <c r="D17" s="22" t="s">
        <v>162</v>
      </c>
      <c r="E17" s="22" t="s">
        <v>185</v>
      </c>
      <c r="F17" s="33">
        <v>44303</v>
      </c>
      <c r="G17" s="22">
        <v>48000</v>
      </c>
      <c r="H17" s="22" t="s">
        <v>186</v>
      </c>
      <c r="I17" s="33">
        <v>45659</v>
      </c>
      <c r="J17" s="22" t="s">
        <v>128</v>
      </c>
      <c r="K17" s="33">
        <v>45693</v>
      </c>
      <c r="L17" s="22">
        <v>3</v>
      </c>
      <c r="M17" s="33">
        <v>45524</v>
      </c>
      <c r="N17" s="22" t="s">
        <v>187</v>
      </c>
      <c r="O17" s="22" t="str">
        <f t="shared" si="0"/>
        <v>No Bonus</v>
      </c>
    </row>
    <row r="18" spans="1:15" x14ac:dyDescent="0.25">
      <c r="A18" s="22">
        <v>15</v>
      </c>
      <c r="B18" s="22" t="s">
        <v>188</v>
      </c>
      <c r="C18" s="22" t="s">
        <v>152</v>
      </c>
      <c r="D18" s="22" t="s">
        <v>132</v>
      </c>
      <c r="E18" s="22" t="s">
        <v>189</v>
      </c>
      <c r="F18" s="33">
        <v>45112</v>
      </c>
      <c r="G18" s="22">
        <v>45000</v>
      </c>
      <c r="H18" s="22" t="s">
        <v>150</v>
      </c>
      <c r="I18" s="33">
        <v>45659</v>
      </c>
      <c r="J18" s="22" t="s">
        <v>125</v>
      </c>
      <c r="K18" s="33">
        <v>45693</v>
      </c>
      <c r="L18" s="22">
        <v>4</v>
      </c>
      <c r="M18" s="33">
        <v>45542</v>
      </c>
      <c r="N18" s="22" t="s">
        <v>190</v>
      </c>
      <c r="O18" s="22" t="str">
        <f t="shared" si="0"/>
        <v>No Bonus</v>
      </c>
    </row>
    <row r="19" spans="1:15" x14ac:dyDescent="0.25">
      <c r="A19" s="22">
        <v>17</v>
      </c>
      <c r="B19" s="22" t="s">
        <v>194</v>
      </c>
      <c r="C19" s="22" t="s">
        <v>148</v>
      </c>
      <c r="D19" s="22" t="s">
        <v>135</v>
      </c>
      <c r="E19" s="22" t="s">
        <v>195</v>
      </c>
      <c r="F19" s="33">
        <v>44895</v>
      </c>
      <c r="G19" s="22">
        <v>47000</v>
      </c>
      <c r="H19" s="22" t="s">
        <v>150</v>
      </c>
      <c r="I19" s="33">
        <v>45659</v>
      </c>
      <c r="J19" s="22" t="s">
        <v>160</v>
      </c>
      <c r="K19" s="33">
        <v>45693</v>
      </c>
      <c r="L19" s="22">
        <v>4</v>
      </c>
      <c r="M19" s="33">
        <v>45575</v>
      </c>
      <c r="N19" s="22" t="s">
        <v>196</v>
      </c>
      <c r="O19" s="22" t="str">
        <f t="shared" si="0"/>
        <v>No Bonus</v>
      </c>
    </row>
    <row r="20" spans="1:15" hidden="1" x14ac:dyDescent="0.25">
      <c r="G20">
        <f>SUM(G2:G19)</f>
        <v>1154000</v>
      </c>
    </row>
  </sheetData>
  <autoFilter ref="A1:O20" xr:uid="{018CA9AC-2824-4936-87CE-56187FD4EFCD}">
    <filterColumn colId="14">
      <customFilters>
        <customFilter operator="notEqual" val=" "/>
      </customFilters>
    </filterColumn>
    <sortState xmlns:xlrd2="http://schemas.microsoft.com/office/spreadsheetml/2017/richdata2" ref="A2:O19">
      <sortCondition ref="O1:O20"/>
    </sortState>
  </autoFilter>
  <sortState xmlns:xlrd2="http://schemas.microsoft.com/office/spreadsheetml/2017/richdata2" ref="A2:R20">
    <sortCondition ref="O1:O20"/>
  </sortState>
  <dataValidations count="1">
    <dataValidation type="list" allowBlank="1" showInputMessage="1" showErrorMessage="1" sqref="J22:J39" xr:uid="{CFAFB9E1-3115-4092-A6D9-448963B4CEE2}">
      <formula1>$A$2:$A$19</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AACA-43B3-4A9E-9249-B8648842AE01}">
  <dimension ref="A1:V26"/>
  <sheetViews>
    <sheetView tabSelected="1" topLeftCell="H1" workbookViewId="0">
      <selection activeCell="P20" sqref="P20"/>
    </sheetView>
  </sheetViews>
  <sheetFormatPr defaultRowHeight="15" x14ac:dyDescent="0.25"/>
  <cols>
    <col min="1" max="1" width="14.7109375" bestFit="1" customWidth="1"/>
    <col min="3" max="3" width="23.85546875" bestFit="1" customWidth="1"/>
    <col min="5" max="5" width="11.42578125" bestFit="1" customWidth="1"/>
    <col min="6" max="6" width="13.28515625" bestFit="1" customWidth="1"/>
    <col min="8" max="8" width="25.28515625" bestFit="1" customWidth="1"/>
    <col min="9" max="9" width="11.85546875" bestFit="1" customWidth="1"/>
    <col min="10" max="10" width="14.42578125" bestFit="1" customWidth="1"/>
    <col min="12" max="12" width="20.85546875" bestFit="1" customWidth="1"/>
    <col min="13" max="13" width="16.28515625" bestFit="1" customWidth="1"/>
    <col min="14" max="14" width="21" bestFit="1" customWidth="1"/>
    <col min="16" max="17" width="19.28515625" bestFit="1" customWidth="1"/>
    <col min="18" max="18" width="12.85546875" bestFit="1" customWidth="1"/>
    <col min="19" max="20" width="12.5703125" bestFit="1" customWidth="1"/>
    <col min="22" max="23" width="16.42578125" bestFit="1" customWidth="1"/>
  </cols>
  <sheetData>
    <row r="1" spans="1:22" ht="18.75" x14ac:dyDescent="0.3">
      <c r="A1" s="55" t="s">
        <v>347</v>
      </c>
      <c r="B1" s="55" t="s">
        <v>208</v>
      </c>
      <c r="C1" s="55" t="s">
        <v>361</v>
      </c>
      <c r="D1" s="55" t="s">
        <v>348</v>
      </c>
      <c r="E1" s="55" t="s">
        <v>349</v>
      </c>
      <c r="F1" s="55" t="s">
        <v>141</v>
      </c>
      <c r="G1" s="55" t="s">
        <v>142</v>
      </c>
      <c r="H1" s="55" t="s">
        <v>350</v>
      </c>
      <c r="I1" s="55" t="s">
        <v>351</v>
      </c>
      <c r="J1" s="55" t="s">
        <v>352</v>
      </c>
      <c r="K1" s="55" t="s">
        <v>213</v>
      </c>
      <c r="L1" s="55" t="s">
        <v>353</v>
      </c>
      <c r="M1" s="55" t="s">
        <v>354</v>
      </c>
      <c r="N1" s="55" t="s">
        <v>355</v>
      </c>
      <c r="P1" s="55" t="s">
        <v>218</v>
      </c>
      <c r="Q1" s="55" t="s">
        <v>356</v>
      </c>
      <c r="R1" s="55" t="s">
        <v>357</v>
      </c>
      <c r="S1" s="55" t="s">
        <v>358</v>
      </c>
    </row>
    <row r="2" spans="1:22" x14ac:dyDescent="0.25">
      <c r="A2" s="22" t="s">
        <v>243</v>
      </c>
      <c r="B2" s="22" t="s">
        <v>148</v>
      </c>
      <c r="C2" s="22" t="s">
        <v>244</v>
      </c>
      <c r="D2" s="22">
        <v>28</v>
      </c>
      <c r="E2" s="22" t="s">
        <v>333</v>
      </c>
      <c r="F2" s="33">
        <v>44270</v>
      </c>
      <c r="G2" s="22">
        <v>45000</v>
      </c>
      <c r="H2" s="22">
        <v>4</v>
      </c>
      <c r="I2" s="22" t="s">
        <v>277</v>
      </c>
      <c r="J2" s="33">
        <v>45658</v>
      </c>
      <c r="K2" s="22" t="s">
        <v>125</v>
      </c>
      <c r="L2" s="33">
        <v>44941</v>
      </c>
      <c r="M2" s="22" t="s">
        <v>334</v>
      </c>
      <c r="N2" s="22" t="s">
        <v>333</v>
      </c>
      <c r="P2" s="22">
        <f>COUNT(G2:G26)</f>
        <v>25</v>
      </c>
      <c r="Q2" s="22">
        <f>MAX(G2:G26)</f>
        <v>80000</v>
      </c>
      <c r="R2" s="22">
        <f>MIN(G2:G26)</f>
        <v>42000</v>
      </c>
      <c r="S2" s="22">
        <f>AVERAGEA(G2:G26)</f>
        <v>58400</v>
      </c>
    </row>
    <row r="3" spans="1:22" x14ac:dyDescent="0.25">
      <c r="A3" s="22" t="s">
        <v>245</v>
      </c>
      <c r="B3" s="22" t="s">
        <v>148</v>
      </c>
      <c r="C3" s="22" t="s">
        <v>360</v>
      </c>
      <c r="D3" s="22">
        <v>32</v>
      </c>
      <c r="E3" s="22" t="s">
        <v>335</v>
      </c>
      <c r="F3" s="33">
        <v>44022</v>
      </c>
      <c r="G3" s="22">
        <v>75000</v>
      </c>
      <c r="H3" s="22">
        <v>5</v>
      </c>
      <c r="I3" s="22" t="s">
        <v>277</v>
      </c>
      <c r="J3" s="33">
        <v>45658</v>
      </c>
      <c r="K3" s="22" t="s">
        <v>125</v>
      </c>
      <c r="L3" s="33">
        <v>44967</v>
      </c>
      <c r="M3" s="22" t="s">
        <v>336</v>
      </c>
      <c r="N3" s="22" t="s">
        <v>337</v>
      </c>
      <c r="P3" s="56" t="s">
        <v>362</v>
      </c>
    </row>
    <row r="4" spans="1:22" x14ac:dyDescent="0.25">
      <c r="A4" s="22" t="s">
        <v>338</v>
      </c>
      <c r="B4" s="22" t="s">
        <v>152</v>
      </c>
      <c r="C4" s="22" t="s">
        <v>130</v>
      </c>
      <c r="D4" s="22">
        <v>26</v>
      </c>
      <c r="E4" s="22" t="s">
        <v>333</v>
      </c>
      <c r="F4" s="33">
        <v>44581</v>
      </c>
      <c r="G4" s="22">
        <v>42000</v>
      </c>
      <c r="H4" s="22">
        <v>3</v>
      </c>
      <c r="I4" s="22" t="s">
        <v>277</v>
      </c>
      <c r="J4" s="33">
        <v>45658</v>
      </c>
      <c r="K4" s="22" t="s">
        <v>128</v>
      </c>
      <c r="L4" s="33">
        <v>44990</v>
      </c>
      <c r="M4" s="22" t="s">
        <v>339</v>
      </c>
      <c r="N4" s="22" t="s">
        <v>340</v>
      </c>
      <c r="P4" s="22">
        <v>25</v>
      </c>
    </row>
    <row r="5" spans="1:22" x14ac:dyDescent="0.25">
      <c r="A5" s="22" t="s">
        <v>341</v>
      </c>
      <c r="B5" s="22" t="s">
        <v>152</v>
      </c>
      <c r="C5" s="22" t="s">
        <v>127</v>
      </c>
      <c r="D5" s="22">
        <v>30</v>
      </c>
      <c r="E5" s="22" t="s">
        <v>124</v>
      </c>
      <c r="F5" s="33">
        <v>43720</v>
      </c>
      <c r="G5" s="22">
        <v>50000</v>
      </c>
      <c r="H5" s="22">
        <v>4</v>
      </c>
      <c r="I5" s="22" t="s">
        <v>277</v>
      </c>
      <c r="J5" s="33">
        <v>45658</v>
      </c>
      <c r="K5" s="22" t="s">
        <v>125</v>
      </c>
      <c r="L5" s="33">
        <v>45005</v>
      </c>
      <c r="M5" s="22" t="s">
        <v>342</v>
      </c>
      <c r="N5" s="22" t="s">
        <v>343</v>
      </c>
    </row>
    <row r="6" spans="1:22" x14ac:dyDescent="0.25">
      <c r="A6" s="22" t="s">
        <v>249</v>
      </c>
      <c r="B6" s="22" t="s">
        <v>148</v>
      </c>
      <c r="C6" s="22" t="s">
        <v>359</v>
      </c>
      <c r="D6" s="22">
        <v>35</v>
      </c>
      <c r="E6" s="22" t="s">
        <v>344</v>
      </c>
      <c r="F6" s="33">
        <v>43238</v>
      </c>
      <c r="G6" s="22">
        <v>80000</v>
      </c>
      <c r="H6" s="22">
        <v>5</v>
      </c>
      <c r="I6" s="22" t="s">
        <v>277</v>
      </c>
      <c r="J6" s="33">
        <v>45658</v>
      </c>
      <c r="K6" s="22" t="s">
        <v>345</v>
      </c>
      <c r="L6" s="33">
        <v>45017</v>
      </c>
      <c r="M6" s="22" t="s">
        <v>346</v>
      </c>
      <c r="N6" s="22" t="s">
        <v>344</v>
      </c>
    </row>
    <row r="7" spans="1:22" x14ac:dyDescent="0.25">
      <c r="A7" s="22" t="s">
        <v>243</v>
      </c>
      <c r="B7" s="22" t="s">
        <v>148</v>
      </c>
      <c r="C7" s="22" t="s">
        <v>244</v>
      </c>
      <c r="D7" s="22">
        <v>28</v>
      </c>
      <c r="E7" s="22" t="s">
        <v>333</v>
      </c>
      <c r="F7" s="33">
        <v>44270</v>
      </c>
      <c r="G7" s="22">
        <v>45000</v>
      </c>
      <c r="H7" s="22">
        <v>4</v>
      </c>
      <c r="I7" s="22" t="s">
        <v>277</v>
      </c>
      <c r="J7" s="33">
        <v>45659</v>
      </c>
      <c r="K7" s="22" t="s">
        <v>125</v>
      </c>
      <c r="L7" s="33">
        <v>44941</v>
      </c>
      <c r="M7" s="22" t="s">
        <v>334</v>
      </c>
      <c r="N7" s="22" t="s">
        <v>333</v>
      </c>
      <c r="S7" s="22" t="s">
        <v>364</v>
      </c>
      <c r="V7" s="22" t="s">
        <v>365</v>
      </c>
    </row>
    <row r="8" spans="1:22" x14ac:dyDescent="0.25">
      <c r="A8" s="22" t="s">
        <v>245</v>
      </c>
      <c r="B8" s="22" t="s">
        <v>148</v>
      </c>
      <c r="C8" s="22" t="s">
        <v>360</v>
      </c>
      <c r="D8" s="22">
        <v>32</v>
      </c>
      <c r="E8" s="22" t="s">
        <v>335</v>
      </c>
      <c r="F8" s="33">
        <v>44022</v>
      </c>
      <c r="G8" s="22">
        <v>75000</v>
      </c>
      <c r="H8" s="22">
        <v>5</v>
      </c>
      <c r="I8" s="22" t="s">
        <v>277</v>
      </c>
      <c r="J8" s="33">
        <v>45659</v>
      </c>
      <c r="K8" s="22" t="s">
        <v>125</v>
      </c>
      <c r="L8" s="33">
        <v>44967</v>
      </c>
      <c r="M8" s="22" t="s">
        <v>336</v>
      </c>
      <c r="N8" s="22" t="s">
        <v>337</v>
      </c>
      <c r="P8" s="56" t="s">
        <v>115</v>
      </c>
      <c r="Q8" s="22" t="s">
        <v>362</v>
      </c>
      <c r="S8" s="22">
        <v>42000</v>
      </c>
      <c r="V8" s="22">
        <v>58400</v>
      </c>
    </row>
    <row r="9" spans="1:22" x14ac:dyDescent="0.25">
      <c r="A9" s="22" t="s">
        <v>338</v>
      </c>
      <c r="B9" s="22" t="s">
        <v>152</v>
      </c>
      <c r="C9" s="22" t="s">
        <v>130</v>
      </c>
      <c r="D9" s="22">
        <v>26</v>
      </c>
      <c r="E9" s="22" t="s">
        <v>333</v>
      </c>
      <c r="F9" s="33">
        <v>44581</v>
      </c>
      <c r="G9" s="22">
        <v>42000</v>
      </c>
      <c r="H9" s="22">
        <v>3</v>
      </c>
      <c r="I9" s="22" t="s">
        <v>277</v>
      </c>
      <c r="J9" s="33">
        <v>45659</v>
      </c>
      <c r="K9" s="22" t="s">
        <v>125</v>
      </c>
      <c r="L9" s="33">
        <v>44990</v>
      </c>
      <c r="M9" s="22" t="s">
        <v>339</v>
      </c>
      <c r="N9" s="22" t="s">
        <v>340</v>
      </c>
      <c r="P9" s="57" t="s">
        <v>359</v>
      </c>
      <c r="Q9" s="22">
        <v>4</v>
      </c>
    </row>
    <row r="10" spans="1:22" x14ac:dyDescent="0.25">
      <c r="A10" s="22" t="s">
        <v>341</v>
      </c>
      <c r="B10" s="22" t="s">
        <v>152</v>
      </c>
      <c r="C10" s="22" t="s">
        <v>127</v>
      </c>
      <c r="D10" s="22">
        <v>30</v>
      </c>
      <c r="E10" s="22" t="s">
        <v>124</v>
      </c>
      <c r="F10" s="33">
        <v>43720</v>
      </c>
      <c r="G10" s="22">
        <v>50000</v>
      </c>
      <c r="H10" s="22">
        <v>4</v>
      </c>
      <c r="I10" s="22" t="s">
        <v>277</v>
      </c>
      <c r="J10" s="33">
        <v>45659</v>
      </c>
      <c r="K10" s="22" t="s">
        <v>128</v>
      </c>
      <c r="L10" s="33">
        <v>45005</v>
      </c>
      <c r="M10" s="22" t="s">
        <v>342</v>
      </c>
      <c r="N10" s="22" t="s">
        <v>343</v>
      </c>
      <c r="P10" s="57" t="s">
        <v>127</v>
      </c>
      <c r="Q10" s="22">
        <v>5</v>
      </c>
    </row>
    <row r="11" spans="1:22" x14ac:dyDescent="0.25">
      <c r="A11" s="22" t="s">
        <v>249</v>
      </c>
      <c r="B11" s="22" t="s">
        <v>148</v>
      </c>
      <c r="C11" s="22" t="s">
        <v>359</v>
      </c>
      <c r="D11" s="22">
        <v>35</v>
      </c>
      <c r="E11" s="22" t="s">
        <v>344</v>
      </c>
      <c r="F11" s="33">
        <v>43238</v>
      </c>
      <c r="G11" s="22">
        <v>80000</v>
      </c>
      <c r="H11" s="22">
        <v>5</v>
      </c>
      <c r="I11" s="22" t="s">
        <v>277</v>
      </c>
      <c r="J11" s="33">
        <v>45659</v>
      </c>
      <c r="K11" s="22" t="s">
        <v>125</v>
      </c>
      <c r="L11" s="33">
        <v>45017</v>
      </c>
      <c r="M11" s="22" t="s">
        <v>346</v>
      </c>
      <c r="N11" s="22" t="s">
        <v>344</v>
      </c>
      <c r="P11" s="57" t="s">
        <v>360</v>
      </c>
      <c r="Q11" s="22">
        <v>5</v>
      </c>
    </row>
    <row r="12" spans="1:22" x14ac:dyDescent="0.25">
      <c r="A12" s="22" t="s">
        <v>243</v>
      </c>
      <c r="B12" s="22" t="s">
        <v>148</v>
      </c>
      <c r="C12" s="22" t="s">
        <v>244</v>
      </c>
      <c r="D12" s="22">
        <v>28</v>
      </c>
      <c r="E12" s="22" t="s">
        <v>333</v>
      </c>
      <c r="F12" s="33">
        <v>44270</v>
      </c>
      <c r="G12" s="22">
        <v>45000</v>
      </c>
      <c r="H12" s="22">
        <v>4</v>
      </c>
      <c r="I12" s="22" t="s">
        <v>277</v>
      </c>
      <c r="J12" s="33">
        <v>45660</v>
      </c>
      <c r="K12" s="22" t="s">
        <v>125</v>
      </c>
      <c r="L12" s="33">
        <v>44941</v>
      </c>
      <c r="M12" s="22" t="s">
        <v>334</v>
      </c>
      <c r="N12" s="22" t="s">
        <v>333</v>
      </c>
      <c r="P12" s="57" t="s">
        <v>130</v>
      </c>
      <c r="Q12" s="22">
        <v>5</v>
      </c>
    </row>
    <row r="13" spans="1:22" x14ac:dyDescent="0.25">
      <c r="A13" s="22" t="s">
        <v>245</v>
      </c>
      <c r="B13" s="22" t="s">
        <v>148</v>
      </c>
      <c r="C13" s="22" t="s">
        <v>360</v>
      </c>
      <c r="D13" s="22">
        <v>32</v>
      </c>
      <c r="E13" s="22" t="s">
        <v>335</v>
      </c>
      <c r="F13" s="33">
        <v>44022</v>
      </c>
      <c r="G13" s="22">
        <v>75000</v>
      </c>
      <c r="H13" s="22">
        <v>5</v>
      </c>
      <c r="I13" s="22" t="s">
        <v>277</v>
      </c>
      <c r="J13" s="33">
        <v>45660</v>
      </c>
      <c r="K13" s="22" t="s">
        <v>128</v>
      </c>
      <c r="L13" s="33">
        <v>44967</v>
      </c>
      <c r="M13" s="22" t="s">
        <v>336</v>
      </c>
      <c r="N13" s="22" t="s">
        <v>337</v>
      </c>
      <c r="P13" s="57" t="s">
        <v>244</v>
      </c>
      <c r="Q13" s="22">
        <v>5</v>
      </c>
    </row>
    <row r="14" spans="1:22" x14ac:dyDescent="0.25">
      <c r="A14" s="22" t="s">
        <v>338</v>
      </c>
      <c r="B14" s="22" t="s">
        <v>152</v>
      </c>
      <c r="C14" s="22" t="s">
        <v>130</v>
      </c>
      <c r="D14" s="22">
        <v>26</v>
      </c>
      <c r="E14" s="22" t="s">
        <v>333</v>
      </c>
      <c r="F14" s="33">
        <v>44581</v>
      </c>
      <c r="G14" s="22">
        <v>42000</v>
      </c>
      <c r="H14" s="22">
        <v>3</v>
      </c>
      <c r="I14" s="22" t="s">
        <v>277</v>
      </c>
      <c r="J14" s="33">
        <v>45660</v>
      </c>
      <c r="K14" s="22" t="s">
        <v>125</v>
      </c>
      <c r="L14" s="33">
        <v>44990</v>
      </c>
      <c r="M14" s="22" t="s">
        <v>339</v>
      </c>
      <c r="N14" s="22" t="s">
        <v>340</v>
      </c>
      <c r="P14" s="57" t="s">
        <v>116</v>
      </c>
      <c r="Q14" s="22">
        <v>24</v>
      </c>
    </row>
    <row r="15" spans="1:22" x14ac:dyDescent="0.25">
      <c r="A15" s="22" t="s">
        <v>341</v>
      </c>
      <c r="B15" s="22" t="s">
        <v>152</v>
      </c>
      <c r="C15" s="22" t="s">
        <v>127</v>
      </c>
      <c r="D15" s="22">
        <v>30</v>
      </c>
      <c r="E15" s="22" t="s">
        <v>124</v>
      </c>
      <c r="F15" s="33">
        <v>43720</v>
      </c>
      <c r="G15" s="22">
        <v>50000</v>
      </c>
      <c r="H15" s="22">
        <v>4</v>
      </c>
      <c r="I15" s="22" t="s">
        <v>277</v>
      </c>
      <c r="J15" s="33">
        <v>45660</v>
      </c>
      <c r="K15" s="22" t="s">
        <v>125</v>
      </c>
      <c r="L15" s="33">
        <v>45005</v>
      </c>
      <c r="M15" s="22" t="s">
        <v>342</v>
      </c>
      <c r="N15" s="22" t="s">
        <v>343</v>
      </c>
    </row>
    <row r="16" spans="1:22" x14ac:dyDescent="0.25">
      <c r="A16" s="22" t="s">
        <v>249</v>
      </c>
      <c r="B16" s="22" t="s">
        <v>148</v>
      </c>
      <c r="C16" s="22" t="s">
        <v>359</v>
      </c>
      <c r="D16" s="22">
        <v>35</v>
      </c>
      <c r="E16" s="22" t="s">
        <v>344</v>
      </c>
      <c r="F16" s="33">
        <v>43238</v>
      </c>
      <c r="G16" s="22">
        <v>80000</v>
      </c>
      <c r="H16" s="22">
        <v>5</v>
      </c>
      <c r="I16" s="22" t="s">
        <v>277</v>
      </c>
      <c r="J16" s="33">
        <v>45660</v>
      </c>
      <c r="K16" s="22" t="s">
        <v>345</v>
      </c>
      <c r="L16" s="33">
        <v>45017</v>
      </c>
      <c r="M16" s="22" t="s">
        <v>346</v>
      </c>
      <c r="N16" s="22" t="s">
        <v>344</v>
      </c>
    </row>
    <row r="17" spans="1:18" x14ac:dyDescent="0.25">
      <c r="A17" s="22" t="s">
        <v>243</v>
      </c>
      <c r="B17" s="22" t="s">
        <v>148</v>
      </c>
      <c r="C17" s="22" t="s">
        <v>244</v>
      </c>
      <c r="D17" s="22">
        <v>28</v>
      </c>
      <c r="E17" s="22" t="s">
        <v>333</v>
      </c>
      <c r="F17" s="33">
        <v>44270</v>
      </c>
      <c r="G17" s="22">
        <v>45000</v>
      </c>
      <c r="H17" s="22">
        <v>4</v>
      </c>
      <c r="I17" s="22" t="s">
        <v>277</v>
      </c>
      <c r="J17" s="33">
        <v>45661</v>
      </c>
      <c r="K17" s="22" t="s">
        <v>125</v>
      </c>
      <c r="L17" s="33">
        <v>44941</v>
      </c>
      <c r="M17" s="22" t="s">
        <v>334</v>
      </c>
      <c r="N17" s="22" t="s">
        <v>333</v>
      </c>
    </row>
    <row r="18" spans="1:18" x14ac:dyDescent="0.25">
      <c r="A18" s="22" t="s">
        <v>245</v>
      </c>
      <c r="B18" s="22" t="s">
        <v>148</v>
      </c>
      <c r="C18" s="22" t="s">
        <v>360</v>
      </c>
      <c r="D18" s="22">
        <v>32</v>
      </c>
      <c r="E18" s="22" t="s">
        <v>335</v>
      </c>
      <c r="F18" s="33">
        <v>44022</v>
      </c>
      <c r="G18" s="22">
        <v>75000</v>
      </c>
      <c r="H18" s="22">
        <v>5</v>
      </c>
      <c r="I18" s="22" t="s">
        <v>277</v>
      </c>
      <c r="J18" s="33">
        <v>45661</v>
      </c>
      <c r="K18" s="22" t="s">
        <v>125</v>
      </c>
      <c r="L18" s="33">
        <v>44967</v>
      </c>
      <c r="M18" s="22" t="s">
        <v>336</v>
      </c>
      <c r="N18" s="22" t="s">
        <v>337</v>
      </c>
    </row>
    <row r="19" spans="1:18" x14ac:dyDescent="0.25">
      <c r="A19" s="22" t="s">
        <v>338</v>
      </c>
      <c r="B19" s="22" t="s">
        <v>152</v>
      </c>
      <c r="C19" s="22" t="s">
        <v>130</v>
      </c>
      <c r="D19" s="22">
        <v>26</v>
      </c>
      <c r="E19" s="22" t="s">
        <v>333</v>
      </c>
      <c r="F19" s="33">
        <v>44581</v>
      </c>
      <c r="G19" s="22">
        <v>42000</v>
      </c>
      <c r="H19" s="22">
        <v>3</v>
      </c>
      <c r="I19" s="22" t="s">
        <v>277</v>
      </c>
      <c r="J19" s="33">
        <v>45661</v>
      </c>
      <c r="K19" s="22" t="s">
        <v>125</v>
      </c>
      <c r="L19" s="33">
        <v>44990</v>
      </c>
      <c r="M19" s="22" t="s">
        <v>339</v>
      </c>
      <c r="N19" s="22" t="s">
        <v>340</v>
      </c>
    </row>
    <row r="20" spans="1:18" x14ac:dyDescent="0.25">
      <c r="A20" s="22" t="s">
        <v>341</v>
      </c>
      <c r="B20" s="22" t="s">
        <v>152</v>
      </c>
      <c r="C20" s="22" t="s">
        <v>127</v>
      </c>
      <c r="D20" s="22">
        <v>30</v>
      </c>
      <c r="E20" s="22" t="s">
        <v>124</v>
      </c>
      <c r="F20" s="33">
        <v>43720</v>
      </c>
      <c r="G20" s="22">
        <v>50000</v>
      </c>
      <c r="H20" s="22">
        <v>4</v>
      </c>
      <c r="I20" s="22" t="s">
        <v>277</v>
      </c>
      <c r="J20" s="33">
        <v>45661</v>
      </c>
      <c r="K20" s="22" t="s">
        <v>128</v>
      </c>
      <c r="L20" s="33">
        <v>45005</v>
      </c>
      <c r="M20" s="22" t="s">
        <v>342</v>
      </c>
      <c r="N20" s="22" t="s">
        <v>343</v>
      </c>
      <c r="R20" s="22" t="s">
        <v>363</v>
      </c>
    </row>
    <row r="21" spans="1:18" x14ac:dyDescent="0.25">
      <c r="A21" s="22" t="s">
        <v>249</v>
      </c>
      <c r="B21" s="22" t="s">
        <v>148</v>
      </c>
      <c r="C21" s="22" t="s">
        <v>359</v>
      </c>
      <c r="D21" s="22">
        <v>35</v>
      </c>
      <c r="E21" s="22" t="s">
        <v>344</v>
      </c>
      <c r="F21" s="33">
        <v>43238</v>
      </c>
      <c r="G21" s="22">
        <v>80000</v>
      </c>
      <c r="H21" s="22">
        <v>5</v>
      </c>
      <c r="I21" s="22" t="s">
        <v>277</v>
      </c>
      <c r="J21" s="33">
        <v>45661</v>
      </c>
      <c r="K21" s="22" t="s">
        <v>125</v>
      </c>
      <c r="L21" s="33">
        <v>45017</v>
      </c>
      <c r="M21" s="22" t="s">
        <v>346</v>
      </c>
      <c r="N21" s="22" t="s">
        <v>344</v>
      </c>
      <c r="R21" s="22">
        <v>80000</v>
      </c>
    </row>
    <row r="22" spans="1:18" x14ac:dyDescent="0.25">
      <c r="A22" s="22" t="s">
        <v>243</v>
      </c>
      <c r="B22" s="22" t="s">
        <v>148</v>
      </c>
      <c r="C22" s="22" t="s">
        <v>244</v>
      </c>
      <c r="D22" s="22">
        <v>28</v>
      </c>
      <c r="E22" s="22" t="s">
        <v>333</v>
      </c>
      <c r="F22" s="33">
        <v>44270</v>
      </c>
      <c r="G22" s="22">
        <v>45000</v>
      </c>
      <c r="H22" s="22">
        <v>4</v>
      </c>
      <c r="I22" s="22" t="s">
        <v>277</v>
      </c>
      <c r="J22" s="33">
        <v>45662</v>
      </c>
      <c r="K22" s="22" t="s">
        <v>125</v>
      </c>
      <c r="L22" s="33">
        <v>44941</v>
      </c>
      <c r="M22" s="22" t="s">
        <v>334</v>
      </c>
      <c r="N22" s="22" t="s">
        <v>333</v>
      </c>
    </row>
    <row r="23" spans="1:18" x14ac:dyDescent="0.25">
      <c r="A23" s="22" t="s">
        <v>245</v>
      </c>
      <c r="B23" s="22" t="s">
        <v>148</v>
      </c>
      <c r="C23" s="22" t="s">
        <v>360</v>
      </c>
      <c r="D23" s="22">
        <v>32</v>
      </c>
      <c r="E23" s="22" t="s">
        <v>335</v>
      </c>
      <c r="F23" s="33">
        <v>44022</v>
      </c>
      <c r="G23" s="22">
        <v>75000</v>
      </c>
      <c r="H23" s="22">
        <v>5</v>
      </c>
      <c r="I23" s="22" t="s">
        <v>277</v>
      </c>
      <c r="J23" s="33">
        <v>45662</v>
      </c>
      <c r="K23" s="22" t="s">
        <v>345</v>
      </c>
      <c r="L23" s="33">
        <v>44967</v>
      </c>
      <c r="M23" s="22" t="s">
        <v>336</v>
      </c>
      <c r="N23" s="22" t="s">
        <v>337</v>
      </c>
    </row>
    <row r="24" spans="1:18" x14ac:dyDescent="0.25">
      <c r="A24" s="22" t="s">
        <v>338</v>
      </c>
      <c r="B24" s="22" t="s">
        <v>152</v>
      </c>
      <c r="C24" s="22" t="s">
        <v>130</v>
      </c>
      <c r="D24" s="22">
        <v>26</v>
      </c>
      <c r="E24" s="22" t="s">
        <v>333</v>
      </c>
      <c r="F24" s="33">
        <v>44581</v>
      </c>
      <c r="G24" s="22">
        <v>42000</v>
      </c>
      <c r="H24" s="22">
        <v>3</v>
      </c>
      <c r="I24" s="22" t="s">
        <v>277</v>
      </c>
      <c r="J24" s="33">
        <v>45662</v>
      </c>
      <c r="K24" s="22" t="s">
        <v>125</v>
      </c>
      <c r="L24" s="33">
        <v>44990</v>
      </c>
      <c r="M24" s="22" t="s">
        <v>339</v>
      </c>
      <c r="N24" s="22" t="s">
        <v>340</v>
      </c>
    </row>
    <row r="25" spans="1:18" x14ac:dyDescent="0.25">
      <c r="A25" s="22" t="s">
        <v>341</v>
      </c>
      <c r="B25" s="22" t="s">
        <v>152</v>
      </c>
      <c r="C25" s="22" t="s">
        <v>127</v>
      </c>
      <c r="D25" s="22">
        <v>30</v>
      </c>
      <c r="E25" s="22" t="s">
        <v>124</v>
      </c>
      <c r="F25" s="33">
        <v>43720</v>
      </c>
      <c r="G25" s="22">
        <v>50000</v>
      </c>
      <c r="H25" s="22">
        <v>4</v>
      </c>
      <c r="I25" s="22" t="s">
        <v>277</v>
      </c>
      <c r="J25" s="33">
        <v>45662</v>
      </c>
      <c r="K25" s="22" t="s">
        <v>125</v>
      </c>
      <c r="L25" s="33">
        <v>45005</v>
      </c>
      <c r="M25" s="22" t="s">
        <v>342</v>
      </c>
      <c r="N25" s="22" t="s">
        <v>343</v>
      </c>
    </row>
    <row r="26" spans="1:18" x14ac:dyDescent="0.25">
      <c r="A26" s="22" t="s">
        <v>249</v>
      </c>
      <c r="B26" s="22" t="s">
        <v>148</v>
      </c>
      <c r="C26" s="22"/>
      <c r="D26" s="22">
        <v>35</v>
      </c>
      <c r="E26" s="22" t="s">
        <v>344</v>
      </c>
      <c r="F26" s="33">
        <v>43238</v>
      </c>
      <c r="G26" s="22">
        <v>80000</v>
      </c>
      <c r="H26" s="22">
        <v>5</v>
      </c>
      <c r="I26" s="22" t="s">
        <v>277</v>
      </c>
      <c r="J26" s="33">
        <v>45662</v>
      </c>
      <c r="K26" s="22" t="s">
        <v>128</v>
      </c>
      <c r="L26" s="33">
        <v>45017</v>
      </c>
      <c r="M26" s="22" t="s">
        <v>346</v>
      </c>
      <c r="N26" s="22" t="s">
        <v>344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3B7EF-FC1D-4DE0-97D7-E2F95C9E87B2}">
  <dimension ref="A1"/>
  <sheetViews>
    <sheetView showGridLines="0" zoomScaleNormal="100" workbookViewId="0">
      <selection activeCell="Q40" sqref="Q40"/>
    </sheetView>
  </sheetViews>
  <sheetFormatPr defaultRowHeight="15" x14ac:dyDescent="0.25"/>
  <cols>
    <col min="1" max="16384" width="9.140625" style="40"/>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Sheet3</vt:lpstr>
      <vt:lpstr>Sheet5</vt:lpstr>
      <vt:lpstr>Sheet9</vt:lpstr>
      <vt:lpstr>Sheet6</vt:lpstr>
      <vt:lpstr>sales</vt:lpstr>
      <vt:lpstr>Sheet18</vt:lpstr>
      <vt:lpstr>Sheet1</vt:lpstr>
      <vt:lpstr>Sheet7</vt:lpstr>
      <vt:lpstr>Sheet11</vt:lpstr>
      <vt:lpstr>Sheet17</vt:lpstr>
      <vt:lpstr>Sheet12</vt:lpstr>
      <vt:lpstr>Sales &amp; revenue</vt:lpstr>
      <vt:lpstr>Sheet15</vt:lpstr>
      <vt:lpstr>Sheet8</vt:lpstr>
      <vt:lpstr>HR</vt:lpstr>
      <vt:lpstr>Sheet14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Abu Bakker Siddik</dc:creator>
  <cp:lastModifiedBy>Abu Bakker Siddik</cp:lastModifiedBy>
  <cp:lastPrinted>2025-10-28T16:54:06Z</cp:lastPrinted>
  <dcterms:created xsi:type="dcterms:W3CDTF">2015-06-05T18:17:20Z</dcterms:created>
  <dcterms:modified xsi:type="dcterms:W3CDTF">2026-02-05T17:02:27Z</dcterms:modified>
</cp:coreProperties>
</file>